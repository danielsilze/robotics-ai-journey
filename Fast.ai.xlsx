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robotics-ai-journey/"/>
    </mc:Choice>
  </mc:AlternateContent>
  <xr:revisionPtr revIDLastSave="0" documentId="8_{13B793DE-C224-A347-A97D-3C48974DCB65}" xr6:coauthVersionLast="47" xr6:coauthVersionMax="47" xr10:uidLastSave="{00000000-0000-0000-0000-000000000000}"/>
  <bookViews>
    <workbookView xWindow="0" yWindow="500" windowWidth="68800" windowHeight="28300" activeTab="5" xr2:uid="{51658058-8315-A640-B733-1DFC39D6EEC8}"/>
  </bookViews>
  <sheets>
    <sheet name="0. Überblick" sheetId="6" r:id="rId1"/>
    <sheet name="1. Quadratische Funktion" sheetId="3" r:id="rId2"/>
    <sheet name="2. Neuronales Netz" sheetId="2" r:id="rId3"/>
    <sheet name="3. Gradient Descent" sheetId="4" r:id="rId4"/>
    <sheet name="4. Titanic" sheetId="5" r:id="rId5"/>
    <sheet name="5. Code-Aufbau L1+L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5" l="1"/>
  <c r="D21" i="5"/>
  <c r="E21" i="5" s="1"/>
  <c r="G21" i="5" s="1"/>
  <c r="D20" i="5"/>
  <c r="E20" i="5" s="1"/>
  <c r="G20" i="5" s="1"/>
  <c r="D19" i="5"/>
  <c r="E19" i="5" s="1"/>
  <c r="G19" i="5" s="1"/>
  <c r="D18" i="5"/>
  <c r="E18" i="5" s="1"/>
  <c r="G18" i="5" s="1"/>
  <c r="D17" i="5"/>
  <c r="E17" i="5" s="1"/>
  <c r="G17" i="5" s="1"/>
  <c r="E16" i="5"/>
  <c r="G16" i="5" s="1"/>
  <c r="A20" i="4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19" i="4"/>
  <c r="D18" i="4"/>
  <c r="E18" i="4" s="1"/>
  <c r="B19" i="4" s="1"/>
  <c r="C18" i="4"/>
  <c r="B18" i="4"/>
  <c r="A18" i="4"/>
  <c r="E17" i="4"/>
  <c r="D17" i="4"/>
  <c r="C17" i="4"/>
  <c r="B17" i="4"/>
  <c r="B23" i="3"/>
  <c r="E16" i="3"/>
  <c r="F16" i="3" s="1"/>
  <c r="D15" i="3"/>
  <c r="C15" i="3"/>
  <c r="D28" i="2"/>
  <c r="D34" i="2"/>
  <c r="C34" i="2"/>
  <c r="D33" i="2"/>
  <c r="C33" i="2"/>
  <c r="D32" i="2"/>
  <c r="C32" i="2"/>
  <c r="D31" i="2"/>
  <c r="C31" i="2"/>
  <c r="D30" i="2"/>
  <c r="C30" i="2"/>
  <c r="D29" i="2"/>
  <c r="C29" i="2"/>
  <c r="C28" i="2"/>
  <c r="B13" i="2"/>
  <c r="B12" i="2"/>
  <c r="B11" i="2"/>
  <c r="B10" i="2"/>
  <c r="B9" i="2"/>
  <c r="B23" i="5" l="1"/>
  <c r="D19" i="4"/>
  <c r="E19" i="4" s="1"/>
  <c r="B20" i="4" s="1"/>
  <c r="C19" i="4"/>
  <c r="E28" i="2"/>
  <c r="F28" i="2" s="1"/>
  <c r="E32" i="2"/>
  <c r="F32" i="2" s="1"/>
  <c r="E29" i="2"/>
  <c r="F29" i="2" s="1"/>
  <c r="E33" i="2"/>
  <c r="F33" i="2" s="1"/>
  <c r="E30" i="2"/>
  <c r="F30" i="2" s="1"/>
  <c r="E34" i="2"/>
  <c r="F34" i="2" s="1"/>
  <c r="E31" i="2"/>
  <c r="F31" i="2" s="1"/>
  <c r="D20" i="4" l="1"/>
  <c r="E20" i="4" s="1"/>
  <c r="B21" i="4" s="1"/>
  <c r="C20" i="4"/>
  <c r="B40" i="2"/>
  <c r="D21" i="4" l="1"/>
  <c r="C21" i="4"/>
  <c r="E21" i="4"/>
  <c r="B22" i="4" s="1"/>
  <c r="D22" i="4" l="1"/>
  <c r="E22" i="4" s="1"/>
  <c r="B23" i="4" s="1"/>
  <c r="C22" i="4"/>
  <c r="D23" i="4" l="1"/>
  <c r="E23" i="4" s="1"/>
  <c r="B24" i="4" s="1"/>
  <c r="C23" i="4"/>
  <c r="D24" i="4" l="1"/>
  <c r="E24" i="4" s="1"/>
  <c r="B25" i="4" s="1"/>
  <c r="C24" i="4"/>
  <c r="D25" i="4" l="1"/>
  <c r="E25" i="4" s="1"/>
  <c r="B26" i="4" s="1"/>
  <c r="C25" i="4"/>
  <c r="C26" i="4" l="1"/>
  <c r="D26" i="4"/>
  <c r="E26" i="4" s="1"/>
  <c r="B27" i="4" s="1"/>
  <c r="D27" i="4" l="1"/>
  <c r="E27" i="4" s="1"/>
  <c r="B28" i="4" s="1"/>
  <c r="C27" i="4"/>
  <c r="D28" i="4" l="1"/>
  <c r="E28" i="4" s="1"/>
  <c r="B29" i="4" s="1"/>
  <c r="C28" i="4"/>
  <c r="D29" i="4" l="1"/>
  <c r="C29" i="4"/>
  <c r="E29" i="4"/>
  <c r="B30" i="4" s="1"/>
  <c r="D30" i="4" l="1"/>
  <c r="E30" i="4" s="1"/>
  <c r="B31" i="4" s="1"/>
  <c r="C30" i="4"/>
  <c r="D31" i="4" l="1"/>
  <c r="E31" i="4" s="1"/>
  <c r="B32" i="4" s="1"/>
  <c r="C31" i="4"/>
  <c r="D32" i="4" l="1"/>
  <c r="E32" i="4" s="1"/>
  <c r="C32" i="4"/>
</calcChain>
</file>

<file path=xl/sharedStrings.xml><?xml version="1.0" encoding="utf-8"?>
<sst xmlns="http://schemas.openxmlformats.org/spreadsheetml/2006/main" count="255" uniqueCount="237">
  <si>
    <t>x</t>
  </si>
  <si>
    <t>Neuronales Netz — ein Mini-Beispiel zum Anfassen</t>
  </si>
  <si>
    <t>Wir bauen ein Netz mit nur 2 Neuronen und bringen es bei, die Form y = |x| nachzubilden.</t>
  </si>
  <si>
    <t>TEIL 1 — Was ist ReLU?</t>
  </si>
  <si>
    <t>ReLU(z) = MAX(0, z).  In Worten: "Wenn z negativ ist, gib 0. Sonst gib z."</t>
  </si>
  <si>
    <t>Es ist ein Knick bei 0. Genau dieser Knick macht das Netz nichtlinear — sonst wäre es nur eine Gerade.</t>
  </si>
  <si>
    <t>z (Eingabe)</t>
  </si>
  <si>
    <t>ReLU(z)</t>
  </si>
  <si>
    <t>Erklärung</t>
  </si>
  <si>
    <t>negativ → wird 0</t>
  </si>
  <si>
    <t>der Knick</t>
  </si>
  <si>
    <t>positiv → bleibt unverändert</t>
  </si>
  <si>
    <t>TEIL 2 — Ein einzelnes Neuron</t>
  </si>
  <si>
    <t>Ein Neuron rechnet:  z = w · x + b,  dann ReLU(z).  w = Steigung, b = Verschiebung.</t>
  </si>
  <si>
    <t>Anders gesagt: erst eine Gerade, dann den Knick. Eine „geknickte Gerade“.</t>
  </si>
  <si>
    <t>TEIL 3 — Zwei Neuronen, eine Aufgabe</t>
  </si>
  <si>
    <t>Aufgabe: Finde Werte für w1, b1, w2, b2 so, dass die letzte Spalte (Loss) überall 0 wird.</t>
  </si>
  <si>
    <t>Idee: Neuron 1 kümmert sich um die linke Hälfte der V-Form, Neuron 2 um die rechte.</t>
  </si>
  <si>
    <t>Neuron 1 (linker Ast)</t>
  </si>
  <si>
    <t>Neuron 2 (rechter Ast)</t>
  </si>
  <si>
    <t>w1</t>
  </si>
  <si>
    <t>b1</t>
  </si>
  <si>
    <t>w2</t>
  </si>
  <si>
    <t>b2</t>
  </si>
  <si>
    <t>y (soll)</t>
  </si>
  <si>
    <t>Neuron 1</t>
  </si>
  <si>
    <t>Neuron 2</t>
  </si>
  <si>
    <t>Netz = N1+N2</t>
  </si>
  <si>
    <t>Fehler (y−Netz)²</t>
  </si>
  <si>
    <t>TEIL 4 — Loss: wie schlecht ist das Netz gerade?</t>
  </si>
  <si>
    <t>Pro Punkt rechnen wir den Fehler im Quadrat: (y − Netz)².  Quadriert, weil Vorzeichen egal ist.</t>
  </si>
  <si>
    <t>Den Mittelwert davon nennt man MSE — Mean Squared Error. Das ist unsere Loss-Zahl.</t>
  </si>
  <si>
    <t>Loss (MSE):</t>
  </si>
  <si>
    <t>← 0 = perfekt. Probier so lange, bis hier 0 steht.</t>
  </si>
  <si>
    <t>TEIL 5 — Lösung (erst probieren, dann hier reinschauen!)</t>
  </si>
  <si>
    <t>Setze:  w1 = −1,  b1 = 0,  w2 = 1,  b2 = 0</t>
  </si>
  <si>
    <t>Dann macht Neuron 1 = ReLU(−x) den linken Ast,  Neuron 2 = ReLU(x) den rechten Ast.</t>
  </si>
  <si>
    <t>Zusammenaddiert ergibt das genau y = |x|.  Loss = 0. ✅</t>
  </si>
  <si>
    <t>TEIL 6 — Was hat das mit PyTorch / fast.ai zu tun?</t>
  </si>
  <si>
    <t>Hier hast du w1, b1, w2, b2 mit der Hand eingestellt, bis Loss = 0 wurde.</t>
  </si>
  <si>
    <t>PyTorch macht genau das automatisch — nur mit Millionen Parametern statt vier.</t>
  </si>
  <si>
    <t>Dieser automatische Prozess heißt Gradient Descent. Er fragt: „Wenn ich w1 leicht erhöhe, sinkt der Loss?“</t>
  </si>
  <si>
    <t>Wenn ja, erhöht er w1 ein bisschen. Wenn nein, senkt er w1. Das macht er für alle Parameter, tausende Male.</t>
  </si>
  <si>
    <t>learn.fine_tune(3)  →  ca. 1000× dieser Probier-Schritt, vollautomatisch.</t>
  </si>
  <si>
    <t>Mehr Neuronen → das Netz kann jede Form lernen, nicht nur V — das ist der Universal Approximation Theorem.</t>
  </si>
  <si>
    <t>Was bedeuten die gelben Zellen?</t>
  </si>
  <si>
    <t>w1 = Steigung Neuron 1 (linker Ast der V)</t>
  </si>
  <si>
    <t>b1 = Verschiebung Neuron 1 (wo der Knick liegt)</t>
  </si>
  <si>
    <t>w2 = Steigung Neuron 2 (rechter Ast der V)</t>
  </si>
  <si>
    <t>b2 = Verschiebung Neuron 2</t>
  </si>
  <si>
    <t>→ Probiere: w1=−1, b1=0, w2=1, b2=0</t>
  </si>
  <si>
    <t>Quadratische Funktion — die Vorstufe zum neuronalen Netz</t>
  </si>
  <si>
    <t>Bevor wir Neuronen addieren, lernen wir das Prinzip: Parameter ändern bis Loss = 0.</t>
  </si>
  <si>
    <t>TEIL 1 — Was ist eine quadratische Funktion?</t>
  </si>
  <si>
    <t>Allgemeine Form:  y = a·x² + b·x + c</t>
  </si>
  <si>
    <t>a steuert die Krümmung, b die Schräge, c die Höhe.</t>
  </si>
  <si>
    <t>TEIL 2 — Aufgabe</t>
  </si>
  <si>
    <t>Trainingsdaten: y = x².  Ändere a, b, c bis Loss = 0.</t>
  </si>
  <si>
    <t>a</t>
  </si>
  <si>
    <t>b</t>
  </si>
  <si>
    <t>c</t>
  </si>
  <si>
    <t>Was bedeutet das?</t>
  </si>
  <si>
    <t>a = Krümmung (größer = enger)</t>
  </si>
  <si>
    <t>b = Schräglage</t>
  </si>
  <si>
    <t>c = Höhe am Nullpunkt</t>
  </si>
  <si>
    <t>Vorhersage</t>
  </si>
  <si>
    <t>Fehler²</t>
  </si>
  <si>
    <t>← Ziel: 0</t>
  </si>
  <si>
    <t>TEIL 3 — Lösung</t>
  </si>
  <si>
    <t>Setze: a = 1, b = 0, c = 0  →  Loss = 0 ✅</t>
  </si>
  <si>
    <t>TEIL 4 — Was ist hier passiert?</t>
  </si>
  <si>
    <t>Du hast eine "Modellfamilie" (alle quadratischen Funktionen) auf Daten angepasst.</t>
  </si>
  <si>
    <t>Genau das ist das Prinzip jedes Machine-Learning-Modells: passende Parameter finden.</t>
  </si>
  <si>
    <t>Sheet 2 macht dasselbe — nur mit zwei Neuronen statt einer Parabel.</t>
  </si>
  <si>
    <t>Gradient Descent — wie PyTorch automatisch lernt</t>
  </si>
  <si>
    <t>Bisher hast du Parameter mit der Hand verstellt. Hier zeigt Excel, wie es automatisch geht.</t>
  </si>
  <si>
    <t>TEIL 1 — Die Idee</t>
  </si>
  <si>
    <t>Frage: „Wenn ich w ein winziges bisschen erhöhe, sinkt der Loss?“</t>
  </si>
  <si>
    <t>Diese „Antwort“ ist die Steigung des Loss in Bezug auf w — der Gradient.</t>
  </si>
  <si>
    <t>Regel:  neuer_w = alter_w − Lernrate × Gradient</t>
  </si>
  <si>
    <t>Wenn der Gradient positiv ist (Loss steigt mit w), machen wir w kleiner. Und umgekehrt.</t>
  </si>
  <si>
    <t>TEIL 2 — Mini-Beispiel: y = w · x</t>
  </si>
  <si>
    <t>Ein Parameter w. Trainingsdaten unten. Wahres w = 2.</t>
  </si>
  <si>
    <t>Lernrate:</t>
  </si>
  <si>
    <t>← Schrittgröße (änderbar)</t>
  </si>
  <si>
    <t>Start-w:</t>
  </si>
  <si>
    <t>← falsches Start-w (änderbar)</t>
  </si>
  <si>
    <t>Schritt</t>
  </si>
  <si>
    <t>w</t>
  </si>
  <si>
    <t>Loss</t>
  </si>
  <si>
    <t>Gradient</t>
  </si>
  <si>
    <t>neuer w</t>
  </si>
  <si>
    <t>Start: w weit weg vom Ziel (2)</t>
  </si>
  <si>
    <t>Gradient negativ → w wird größer</t>
  </si>
  <si>
    <t>Loss sinkt mit jedem Schritt</t>
  </si>
  <si>
    <t>w nähert sich 2 (das wahre w)</t>
  </si>
  <si>
    <t>Loss ≈ 0 → fertig</t>
  </si>
  <si>
    <t>TEIL 3 — Was du sehen sollst</t>
  </si>
  <si>
    <t>1. w startet bei −3, nähert sich Schritt für Schritt der 2 — ohne dass du etwas tust.</t>
  </si>
  <si>
    <t>2. Loss in Spalte C wird immer kleiner.</t>
  </si>
  <si>
    <t>3. Ändere die Lernrate in B13: zu klein → langsam, zu groß → überschießt / explodiert.</t>
  </si>
  <si>
    <t>4. Genau das macht PyTorch — nur mit Millionen Parametern gleichzeitig.</t>
  </si>
  <si>
    <t>Titanic — Überlebenswahrscheinlichkeit aus 2 Spalten</t>
  </si>
  <si>
    <t>Jeremys berühmtes Excel-Beispiel: ein lineares Modell auf Tabular-Daten.</t>
  </si>
  <si>
    <t>TEIL 1 — Modell</t>
  </si>
  <si>
    <t>Vorhersage = w_sex · (Frau?) + w_class · (1.Klasse?) + b</t>
  </si>
  <si>
    <t>Frau? = 1 wenn weiblich, sonst 0.   1.Klasse? = 1 wenn 1. Klasse, sonst 0.</t>
  </si>
  <si>
    <t>Wenn Vorhersage ≥ 0.5 → "überlebt".  Sonst "gestorben".</t>
  </si>
  <si>
    <t>Parameter (änderbar):</t>
  </si>
  <si>
    <t>w_sex</t>
  </si>
  <si>
    <t>w_class</t>
  </si>
  <si>
    <t>Was bedeuten die?</t>
  </si>
  <si>
    <t>w_sex hoch → Frauen überleben eher</t>
  </si>
  <si>
    <t>w_class hoch → 1.Klasse überlebt eher</t>
  </si>
  <si>
    <t>b = Grundwahrscheinlichkeit (alle anderen)</t>
  </si>
  <si>
    <t>Passagiere (vereinfacht):</t>
  </si>
  <si>
    <t>Name</t>
  </si>
  <si>
    <t>Frau?</t>
  </si>
  <si>
    <t>1.Klasse?</t>
  </si>
  <si>
    <t>Modell sagt</t>
  </si>
  <si>
    <t>Wirklich</t>
  </si>
  <si>
    <t>Korrekt?</t>
  </si>
  <si>
    <t>Rose (Frau, 1.Kl)</t>
  </si>
  <si>
    <t>überlebt</t>
  </si>
  <si>
    <t>Jack (Mann, 3.Kl)</t>
  </si>
  <si>
    <t>gestorben</t>
  </si>
  <si>
    <t>Cal (Mann, 1.Kl)</t>
  </si>
  <si>
    <t>Mary (Frau, 3.Kl)</t>
  </si>
  <si>
    <t>Tom (Mann, 2.Kl)</t>
  </si>
  <si>
    <t>Anna (Frau, 2.Kl)</t>
  </si>
  <si>
    <t>Genauigkeit:</t>
  </si>
  <si>
    <t>← Anteil korrekter Vorhersagen</t>
  </si>
  <si>
    <t>Ändere w_sex, w_class und b, bis Genauigkeit = 100% ist.</t>
  </si>
  <si>
    <t>Tipp: Frau-Sein war wichtiger als Klasse — also sollte w_sex über 0.5 liegen.</t>
  </si>
  <si>
    <t>TEIL 3 — Was ist das?</t>
  </si>
  <si>
    <t>Das ist lineare Regression auf Tabular-Daten — die einfachste Form von ML für Tabellen.</t>
  </si>
  <si>
    <t>Mit ReLU + mehreren Schichten drüber wird daraus ein Tabular Neural Net (fastai ‘tabular_learner’).</t>
  </si>
  <si>
    <t>Echte Modelle haben Dutzende Spalten und finden die Gewichte automatisch per Gradient Descent.</t>
  </si>
  <si>
    <t>fast.ai Lektion 3 — Überblick</t>
  </si>
  <si>
    <t>Alle Konzepte aus Jeremy Howards Lektion 3 — zum Anfassen in Excel.</t>
  </si>
  <si>
    <t>Sheet</t>
  </si>
  <si>
    <t>Konzept</t>
  </si>
  <si>
    <t>Was du lernst</t>
  </si>
  <si>
    <t>1. Quadratische Funktion</t>
  </si>
  <si>
    <t>Modell-Anpassung</t>
  </si>
  <si>
    <t>Parameter (a, b, c) so finden, dass eine Parabel die Daten trifft. Das Grundprinzip jedes ML-Modells.</t>
  </si>
  <si>
    <t>2. Neuronales Netz</t>
  </si>
  <si>
    <t>ReLU + 2 Neuronen</t>
  </si>
  <si>
    <t>Wie aus 2 geknickten Geraden eine Kurve wird. Was ReLU ist. Wie Loss (MSE) misst.</t>
  </si>
  <si>
    <t>3. Gradient Descent</t>
  </si>
  <si>
    <t>Automatisches Lernen</t>
  </si>
  <si>
    <t>Wie PyTorch die Parameter selbst findet — Schritt für Schritt mit Lernrate × Gradient.</t>
  </si>
  <si>
    <t>4. Titanic</t>
  </si>
  <si>
    <t>Tabular ML</t>
  </si>
  <si>
    <t>Lineares Modell auf echten Tabular-Daten — Jeremys Titanic-Beispiel.</t>
  </si>
  <si>
    <t>Reihenfolge zum Durcharbeiten:</t>
  </si>
  <si>
    <t>1⃣  Sheet 1: Verstehe Modell-Anpassung mit einer Parabel.</t>
  </si>
  <si>
    <t>2⃣  Sheet 2: Sieh, wie Neuronen + ReLU eine Kurve formen.</t>
  </si>
  <si>
    <t>3⃣  Sheet 3: Sieh, wie das Anpassen automatisch geht.</t>
  </si>
  <si>
    <t>4⃣  Sheet 4: Wende es auf echte Daten an.</t>
  </si>
  <si>
    <t>Kernbotschaft von Lektion 3:</t>
  </si>
  <si>
    <t>Deep Learning = ein Modell mit vielen Parametern + Gradient Descent.</t>
  </si>
  <si>
    <t>Egal ob Bilder, Text oder Tabellen — das Prinzip ist immer dasselbe.</t>
  </si>
  <si>
    <t>Was NICHT in diesem Workbook ist:</t>
  </si>
  <si>
    <t>• Matrix-Multiplikation (Verallgemeinerung von w·x+b auf viele Inputs)</t>
  </si>
  <si>
    <t>• Mini-Batches &amp; SGD (Gradient Descent auf zufälligen Daten-Happen)</t>
  </si>
  <si>
    <t>• Train/Validation Split (echte Modelle prüfen auf ungesehenen Daten)</t>
  </si>
  <si>
    <t>• Sigmoid / Softmax (für Klassifikation mit Wahrscheinlichkeiten)</t>
  </si>
  <si>
    <t>Diese kommen in späteren Lektionen.</t>
  </si>
  <si>
    <t>fast.ai Lektion 1 &amp; 2 — Programmstruktur erklärt</t>
  </si>
  <si>
    <t>Was machen die Programme aus L1 und L2 — und welcher Codeblock macht was?</t>
  </si>
  <si>
    <t>LEKTION 1 — "Bird oder kein Bird?"</t>
  </si>
  <si>
    <t>Ziel: Aus zwei Beispielbildern (Vogel / Wald) ein Modell bauen, das neue Bilder erkennt.</t>
  </si>
  <si>
    <t>Das ganze Notebook ist nur ~10 Zeilen Code — fast.ai macht den Rest.</t>
  </si>
  <si>
    <t>Code</t>
  </si>
  <si>
    <t>Was macht das?</t>
  </si>
  <si>
    <t>Wozu?</t>
  </si>
  <si>
    <t>from fastai.vision.all import *</t>
  </si>
  <si>
    <t>Lädt die fast.ai Bibliothek (Bilder)</t>
  </si>
  <si>
    <t>Damit wir Befehle wie download_images, vision_learner usw. nutzen können</t>
  </si>
  <si>
    <t>urls = search_images_ddg('bird photos', max=200)</t>
  </si>
  <si>
    <t>Sucht 200 Vogelbilder bei DuckDuckGo</t>
  </si>
  <si>
    <t>Trainingsdaten besorgen — ohne Daten kein Lernen</t>
  </si>
  <si>
    <t>download_images(dest, urls=urls)</t>
  </si>
  <si>
    <t>Lädt die Bilder auf den Computer</t>
  </si>
  <si>
    <t>Lokale Kopie für's Training</t>
  </si>
  <si>
    <t>dls = DataBlock(...).dataloaders(path)</t>
  </si>
  <si>
    <t>Bereitet die Bilder für's Modell vor (Größe, Labels, Train/Val Split)</t>
  </si>
  <si>
    <t>Modelle wollen einheitliche Daten — 224x224 Pixel, gelabelt, in Häppchen</t>
  </si>
  <si>
    <t>learn = vision_learner(dls, resnet18, metrics=error_rate)</t>
  </si>
  <si>
    <t>Holt ein vortrainiertes Modell (ResNet18) — das Herzstück</t>
  </si>
  <si>
    <t>Transfer Learning: ein Modell, das schon Millionen Bilder gesehen hat, lernt jetzt unsere 2 Klassen</t>
  </si>
  <si>
    <t>learn.fine_tune(3)</t>
  </si>
  <si>
    <t>Trainiert 3 Durchgänge — hier passiert das Lernen!</t>
  </si>
  <si>
    <t>Genau das, was du in Sheet 3 manuell gemacht hast — nur ~1000× wiederholt mit Millionen Parametern</t>
  </si>
  <si>
    <t>learn.predict('mein_bild.jpg')</t>
  </si>
  <si>
    <t>Fragt das fertige Modell: "Vogel oder Wald?"</t>
  </si>
  <si>
    <t>Nutzung des trainierten Modells — das eigentliche Ergebnis</t>
  </si>
  <si>
    <t>💡 Kernidee Lektion 1:</t>
  </si>
  <si>
    <t>Du musst kein Modell von Null bauen. Nimm ein vortrainiertes (ResNet18) und passe es mit fine_tune an deine Aufgabe an.</t>
  </si>
  <si>
    <t>Mit ~10 Code-Zeilen baut man ein Bilderkennungsmodell, das vor 5 Jahren noch ein PhD-Projekt war.</t>
  </si>
  <si>
    <t>LEKTION 2 — "Vom Modell zur Web-App"</t>
  </si>
  <si>
    <t>Ziel: Das L1-Modell verbessern (Daten säubern) und als App ins Internet stellen.</t>
  </si>
  <si>
    <t>Hier lernst du den kompletten Workflow: Daten → Training → Prüfen → Deployen.</t>
  </si>
  <si>
    <t>interp = ClassificationInterpretation.from_learner(learn)</t>
  </si>
  <si>
    <t>Erstellt eine Auswertung des Modells</t>
  </si>
  <si>
    <t>Damit man sehen kann, wo das Modell sich vertut</t>
  </si>
  <si>
    <t>interp.plot_confusion_matrix()</t>
  </si>
  <si>
    <t>Zeigt: "Wie oft hat das Modell A für B gehalten?"</t>
  </si>
  <si>
    <t>Verwechslungen finden — z.B. erkennt es Adler gut, aber Eulen schlecht?</t>
  </si>
  <si>
    <t>interp.plot_top_losses(5)</t>
  </si>
  <si>
    <t>Zeigt die 5 Bilder, bei denen das Modell am meisten daneben lag</t>
  </si>
  <si>
    <t>Oft sind das falsch gelabelte oder schlechte Bilder — nicht das Modell ist schuld</t>
  </si>
  <si>
    <t>cleaner = ImageClassifierCleaner(learn)</t>
  </si>
  <si>
    <t>Werkzeug zum Löschen / Umbenennen falscher Bilder</t>
  </si>
  <si>
    <t>Daten säubern — "Garbage In, Garbage Out". Bessere Daten = besseres Modell</t>
  </si>
  <si>
    <t>learn.export('model.pkl')</t>
  </si>
  <si>
    <t>Speichert das fertige Modell als Datei</t>
  </si>
  <si>
    <t>Damit man es woanders laden kann — ohne neu zu trainieren</t>
  </si>
  <si>
    <t>learn_inf = load_learner('model.pkl')</t>
  </si>
  <si>
    <t>Lädt das Modell wieder — ohne Training-Code</t>
  </si>
  <si>
    <t>Auf einem Webserver braucht man kein Training, nur das fertige Modell</t>
  </si>
  <si>
    <t>import gradio as gr; gr.Interface(...).launch()</t>
  </si>
  <si>
    <t>Baut eine Web-Oberfläche zum Bilder hochladen</t>
  </si>
  <si>
    <t>Aus dem Modell wird eine echte App, die andere benutzen können</t>
  </si>
  <si>
    <t>(Hugging Face Spaces — git push)</t>
  </si>
  <si>
    <t>Lädt App + Modell auf einen kostenlosen Server</t>
  </si>
  <si>
    <t>Jeder im Internet kann dein Modell jetzt benutzen</t>
  </si>
  <si>
    <t>💡 Kernidee Lektion 2:</t>
  </si>
  <si>
    <t>Ein Modell ist erst dann fertig, wenn es jemand benutzen kann — nicht wenn es im Notebook läuft.</t>
  </si>
  <si>
    <t>Der größte Hebel ist meist nicht das Modell, sondern bessere Daten (cleaner!).</t>
  </si>
  <si>
    <t>DER GROSSE BOGEN — wie alles zusammenhängt</t>
  </si>
  <si>
    <t>L1:  Modell trainieren (10 Zeilen Code)</t>
  </si>
  <si>
    <t>L2:  Modell verbessern + ins Internet stellen</t>
  </si>
  <si>
    <t>L3:  Verstehen, WAS unter der Haube passiert  ← das machst du in Sheets 1–4</t>
  </si>
  <si>
    <t>L1 + L2 zeigen DIE BEDIENUNG. L3 zeigt DAS GETRIEBE.</t>
  </si>
  <si>
    <t>Wer beides kennt, kann nicht nur fastai-Code abtippen, sondern auch verstehen, warum er funktioniert.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</si>
</sst>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404040"/>
      <name val="Calibri"/>
      <family val="2"/>
      <scheme val="minor"/>
    </font>
    <font>
      <i/>
      <sz val="12"/>
      <color rgb="FF40404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rgb="FF7F7F7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onsolas"/>
      <family val="2"/>
    </font>
    <font>
      <b/>
      <sz val="16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onsolas"/>
      <family val="2"/>
    </font>
    <font>
      <b/>
      <sz val="12"/>
      <color rgb="FF404040"/>
      <name val="Calibri"/>
      <family val="2"/>
      <scheme val="minor"/>
    </font>
    <font>
      <b/>
      <sz val="12"/>
      <color rgb="FF548235"/>
      <name val="Calibri"/>
      <family val="2"/>
      <scheme val="minor"/>
    </font>
    <font>
      <b/>
      <i/>
      <sz val="12"/>
      <color rgb="FF548235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u/>
      <sz val="12"/>
      <color rgb="FF0563C1"/>
      <name val="Calibri"/>
      <family val="2"/>
      <scheme val="minor"/>
    </font>
    <font>
      <b/>
      <u/>
      <sz val="13"/>
      <color rgb="FFFFFFFF"/>
      <name val="Calibri"/>
      <family val="2"/>
      <scheme val="minor"/>
    </font>
    <font>
      <b/>
      <u/>
      <sz val="12"/>
      <color rgb="FF0563C1"/>
      <name val="Consolas"/>
      <family val="2"/>
    </font>
    <font>
      <b/>
      <sz val="12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8F00"/>
      </left>
      <right style="thick">
        <color rgb="FFBF8F00"/>
      </right>
      <top style="thick">
        <color rgb="FFBF8F00"/>
      </top>
      <bottom style="thick">
        <color rgb="FFBF8F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6" fillId="4" borderId="0" xfId="0" applyFont="1" applyFill="1" applyAlignment="1">
      <alignment horizontal="center"/>
    </xf>
    <xf numFmtId="0" fontId="7" fillId="0" borderId="0" xfId="0" applyFont="1"/>
    <xf numFmtId="0" fontId="1" fillId="0" borderId="0" xfId="0" applyFont="1"/>
    <xf numFmtId="0" fontId="8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10" fillId="0" borderId="0" xfId="0" applyFont="1"/>
    <xf numFmtId="0" fontId="9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/>
    <xf numFmtId="164" fontId="13" fillId="7" borderId="0" xfId="0" applyNumberFormat="1" applyFont="1" applyFill="1" applyAlignment="1">
      <alignment horizontal="center"/>
    </xf>
    <xf numFmtId="0" fontId="14" fillId="7" borderId="0" xfId="0" applyFont="1" applyFill="1"/>
    <xf numFmtId="0" fontId="11" fillId="5" borderId="0" xfId="0" applyFont="1" applyFill="1"/>
    <xf numFmtId="0" fontId="12" fillId="10" borderId="0" xfId="0" applyFont="1" applyFill="1"/>
    <xf numFmtId="0" fontId="12" fillId="8" borderId="0" xfId="0" applyFont="1" applyFill="1"/>
    <xf numFmtId="0" fontId="12" fillId="9" borderId="0" xfId="0" applyFont="1" applyFill="1"/>
    <xf numFmtId="0" fontId="9" fillId="5" borderId="1" xfId="0" applyFont="1" applyFill="1" applyBorder="1"/>
    <xf numFmtId="0" fontId="0" fillId="7" borderId="1" xfId="0" applyFill="1" applyBorder="1" applyAlignment="1">
      <alignment horizontal="center"/>
    </xf>
    <xf numFmtId="0" fontId="1" fillId="0" borderId="1" xfId="0" applyFont="1" applyBorder="1"/>
    <xf numFmtId="2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164" fontId="13" fillId="7" borderId="2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/>
    <xf numFmtId="0" fontId="8" fillId="2" borderId="0" xfId="0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4" fontId="6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9" fontId="13" fillId="7" borderId="0" xfId="0" applyNumberFormat="1" applyFont="1" applyFill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18" fillId="5" borderId="0" xfId="0" applyFont="1" applyFill="1"/>
    <xf numFmtId="0" fontId="5" fillId="0" borderId="0" xfId="0" applyFont="1"/>
    <xf numFmtId="0" fontId="20" fillId="10" borderId="0" xfId="0" applyFont="1" applyFill="1"/>
    <xf numFmtId="0" fontId="20" fillId="8" borderId="0" xfId="0" applyFont="1" applyFill="1"/>
    <xf numFmtId="0" fontId="3" fillId="0" borderId="1" xfId="1" applyBorder="1"/>
    <xf numFmtId="0" fontId="9" fillId="8" borderId="0" xfId="0" applyFont="1" applyFill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9" fillId="8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2" fillId="10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9" fillId="5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0" fillId="7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9" fillId="5" borderId="1" xfId="0" applyFont="1" applyFill="1" applyBorder="1" applyAlignment="1">
      <alignment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Ziel vs. Vorhersage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Quadratische Funktion'!$B$14</c:f>
              <c:strCache>
                <c:ptCount val="1"/>
                <c:pt idx="0">
                  <c:v>y (soll)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Quadratische Funktion'!$A$15:$A$21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'1. Quadratische Funktion'!$B$15:$B$21</c:f>
              <c:numCache>
                <c:formatCode>General</c:formatCode>
                <c:ptCount val="7"/>
                <c:pt idx="0">
                  <c:v>9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2-4242-BD3F-2960B8FE4A77}"/>
            </c:ext>
          </c:extLst>
        </c:ser>
        <c:ser>
          <c:idx val="1"/>
          <c:order val="1"/>
          <c:tx>
            <c:v>Vorhersage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Quadratische Funktion'!$A$15:$A$21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'1. Quadratische Funktion'!$C$15:$C$21</c:f>
              <c:numCache>
                <c:formatCode>General</c:formatCode>
                <c:ptCount val="7"/>
                <c:pt idx="0" formatCode="0.00">
                  <c:v>5.5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2-4242-BD3F-2960B8FE4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761008"/>
        <c:axId val="1178911808"/>
      </c:scatterChart>
      <c:valAx>
        <c:axId val="117876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8911808"/>
        <c:crosses val="autoZero"/>
        <c:crossBetween val="midCat"/>
      </c:valAx>
      <c:valAx>
        <c:axId val="11789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876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ReLU(z) — der Knick bei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 Neuronales Netz'!$A$9:$A$13</c:f>
              <c:numCache>
                <c:formatCode>General</c:formatCode>
                <c:ptCount val="5"/>
                <c:pt idx="0">
                  <c:v>-3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</c:numCache>
            </c:numRef>
          </c:xVal>
          <c:yVal>
            <c:numRef>
              <c:f>'2. Neuronales Netz'!$B$9:$B$13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4F-4147-87B2-F23C30ADF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952592"/>
        <c:axId val="1528497200"/>
      </c:scatterChart>
      <c:valAx>
        <c:axId val="155095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8497200"/>
        <c:crosses val="autoZero"/>
        <c:crossBetween val="midCat"/>
      </c:valAx>
      <c:valAx>
        <c:axId val="152849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95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Ziel vs. Netz-Vorhersage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2.4900659186727413E-2"/>
          <c:y val="0.1045142947415693"/>
          <c:w val="0.96461084204523928"/>
          <c:h val="0.83011631756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'2. Neuronales Netz'!$B$27</c:f>
              <c:strCache>
                <c:ptCount val="1"/>
                <c:pt idx="0">
                  <c:v>y (soll)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Neuronales Netz'!$A$28:$A$34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'2. Neuronales Netz'!$B$28:$B$34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A-4944-8FB9-891CD18DDD11}"/>
            </c:ext>
          </c:extLst>
        </c:ser>
        <c:ser>
          <c:idx val="1"/>
          <c:order val="1"/>
          <c:tx>
            <c:v>Netz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Neuronales Netz'!$A$28:$A$34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'2. Neuronales Netz'!$E$28:$E$34</c:f>
              <c:numCache>
                <c:formatCode>0.00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3A-4944-8FB9-891CD18D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236400"/>
        <c:axId val="1553233520"/>
      </c:scatterChart>
      <c:valAx>
        <c:axId val="155323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3233520"/>
        <c:crosses val="autoZero"/>
        <c:crossBetween val="midCat"/>
      </c:valAx>
      <c:valAx>
        <c:axId val="155323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323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 pro Schritt (Ziel: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Gradient Descent'!$A$17:$A$32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'3. Gradient Descent'!$B$17:$B$32</c:f>
              <c:numCache>
                <c:formatCode>0.000</c:formatCode>
                <c:ptCount val="16"/>
                <c:pt idx="0">
                  <c:v>-3</c:v>
                </c:pt>
                <c:pt idx="1">
                  <c:v>-0.66666666666666652</c:v>
                </c:pt>
                <c:pt idx="2">
                  <c:v>0.57777777777777795</c:v>
                </c:pt>
                <c:pt idx="3">
                  <c:v>1.2414814814814816</c:v>
                </c:pt>
                <c:pt idx="4">
                  <c:v>1.5954567901234569</c:v>
                </c:pt>
                <c:pt idx="5">
                  <c:v>1.784243621399177</c:v>
                </c:pt>
                <c:pt idx="6">
                  <c:v>1.8849299314128944</c:v>
                </c:pt>
                <c:pt idx="7">
                  <c:v>1.9386292967535437</c:v>
                </c:pt>
                <c:pt idx="8">
                  <c:v>1.9672689582685565</c:v>
                </c:pt>
                <c:pt idx="9">
                  <c:v>1.9825434444098968</c:v>
                </c:pt>
                <c:pt idx="10">
                  <c:v>1.9906898370186117</c:v>
                </c:pt>
                <c:pt idx="11">
                  <c:v>1.9950345797432596</c:v>
                </c:pt>
                <c:pt idx="12">
                  <c:v>1.9973517758630719</c:v>
                </c:pt>
                <c:pt idx="13">
                  <c:v>1.9985876137936383</c:v>
                </c:pt>
                <c:pt idx="14">
                  <c:v>1.999246727356607</c:v>
                </c:pt>
                <c:pt idx="15">
                  <c:v>1.9995982545901905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D3-9D4F-B262-09CBADFCF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409360"/>
        <c:axId val="1202411072"/>
      </c:scatterChart>
      <c:valAx>
        <c:axId val="120240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2411072"/>
        <c:crosses val="autoZero"/>
        <c:crossBetween val="midCat"/>
      </c:valAx>
      <c:valAx>
        <c:axId val="12024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240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pro Schritt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Gradient Descent'!$A$17:$A$32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'3. Gradient Descent'!$C$17:$C$32</c:f>
              <c:numCache>
                <c:formatCode>0.000</c:formatCode>
                <c:ptCount val="16"/>
                <c:pt idx="0">
                  <c:v>116.66666666666667</c:v>
                </c:pt>
                <c:pt idx="1">
                  <c:v>33.185185185185183</c:v>
                </c:pt>
                <c:pt idx="2">
                  <c:v>9.4393415637860052</c:v>
                </c:pt>
                <c:pt idx="3">
                  <c:v>2.6849682670324633</c:v>
                </c:pt>
                <c:pt idx="4">
                  <c:v>0.76372430706701178</c:v>
                </c:pt>
                <c:pt idx="5">
                  <c:v>0.2172371362323946</c:v>
                </c:pt>
                <c:pt idx="6">
                  <c:v>6.1791896528325597E-2</c:v>
                </c:pt>
                <c:pt idx="7">
                  <c:v>1.7576361679168102E-2</c:v>
                </c:pt>
                <c:pt idx="8">
                  <c:v>4.9994984331856555E-3</c:v>
                </c:pt>
                <c:pt idx="9">
                  <c:v>1.4220795543283652E-3</c:v>
                </c:pt>
                <c:pt idx="10">
                  <c:v>4.0450262878672483E-4</c:v>
                </c:pt>
                <c:pt idx="11">
                  <c:v>1.1505852552156151E-4</c:v>
                </c:pt>
                <c:pt idx="12">
                  <c:v>3.2727758370572503E-5</c:v>
                </c:pt>
                <c:pt idx="13">
                  <c:v>9.3092290476322709E-6</c:v>
                </c:pt>
                <c:pt idx="14">
                  <c:v>2.647958484660136E-6</c:v>
                </c:pt>
                <c:pt idx="15">
                  <c:v>7.5319708008078814E-7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E-7642-B5A3-28CC405A6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258176"/>
        <c:axId val="1594973072"/>
      </c:scatterChart>
      <c:valAx>
        <c:axId val="115125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4973072"/>
        <c:crosses val="autoZero"/>
        <c:crossBetween val="midCat"/>
      </c:valAx>
      <c:valAx>
        <c:axId val="15949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125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24234C9-C8C4-5742-212B-89088DF04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1206499</xdr:colOff>
      <xdr:row>4</xdr:row>
      <xdr:rowOff>0</xdr:rowOff>
    </xdr:from>
    <xdr:to>
      <xdr:col>6</xdr:col>
      <xdr:colOff>3174999</xdr:colOff>
      <xdr:row>14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0C7C917-C18D-44C8-C0AC-0B575EFD8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3174999</xdr:colOff>
      <xdr:row>17</xdr:row>
      <xdr:rowOff>203199</xdr:rowOff>
    </xdr:from>
    <xdr:to>
      <xdr:col>13</xdr:col>
      <xdr:colOff>825499</xdr:colOff>
      <xdr:row>39</xdr:row>
      <xdr:rowOff>241299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C56CDF6-02F7-D9F7-DAC7-5114CCFDB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70A5F35-B3C2-3D11-4CAA-94C8F776C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75B5400-EF84-66BD-9768-CBD2C296A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9bb0b3-d358-4e56-b0bc-7c5ba1ab937c}">
  <we:reference id="WA200009404" version="1.0.0.8" store="en-US" storeType="OMEX"/>
  <we:alternateReferences/>
  <we:properties>
    <we:property name="Microsoft.Office.CampaignId" value="&quot;none&quot;"/>
    <we:property name="claude.fileId" value="&quot;5474a293-618a-40f7-9389-fbc410626ef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BB86-2AED-044D-91DA-F18E11EABB5A}">
  <dimension ref="A1:C25"/>
  <sheetViews>
    <sheetView workbookViewId="0">
      <selection sqref="A1:G1"/>
    </sheetView>
  </sheetViews>
  <sheetFormatPr baseColWidth="10" defaultRowHeight="16" x14ac:dyDescent="0.2"/>
  <cols>
    <col min="1" max="1" width="33.33203125" customWidth="1"/>
    <col min="2" max="2" width="26.6640625" customWidth="1"/>
    <col min="3" max="3" width="70" customWidth="1"/>
  </cols>
  <sheetData>
    <row r="1" spans="1:3" ht="24" x14ac:dyDescent="0.3">
      <c r="A1" s="54" t="s">
        <v>138</v>
      </c>
      <c r="B1" s="54"/>
      <c r="C1" s="54"/>
    </row>
    <row r="2" spans="1:3" x14ac:dyDescent="0.2">
      <c r="A2" s="55" t="s">
        <v>139</v>
      </c>
      <c r="B2" s="55"/>
      <c r="C2" s="55"/>
    </row>
    <row r="4" spans="1:3" x14ac:dyDescent="0.2">
      <c r="A4" s="29" t="s">
        <v>140</v>
      </c>
      <c r="B4" s="29" t="s">
        <v>141</v>
      </c>
      <c r="C4" s="29" t="s">
        <v>142</v>
      </c>
    </row>
    <row r="5" spans="1:3" x14ac:dyDescent="0.2">
      <c r="A5" s="58" t="s">
        <v>143</v>
      </c>
      <c r="B5" s="49" t="s">
        <v>144</v>
      </c>
      <c r="C5" s="49" t="s">
        <v>145</v>
      </c>
    </row>
    <row r="6" spans="1:3" x14ac:dyDescent="0.2">
      <c r="A6" s="58" t="s">
        <v>146</v>
      </c>
      <c r="B6" s="49" t="s">
        <v>147</v>
      </c>
      <c r="C6" s="49" t="s">
        <v>148</v>
      </c>
    </row>
    <row r="7" spans="1:3" x14ac:dyDescent="0.2">
      <c r="A7" s="58" t="s">
        <v>149</v>
      </c>
      <c r="B7" s="49" t="s">
        <v>150</v>
      </c>
      <c r="C7" s="49" t="s">
        <v>151</v>
      </c>
    </row>
    <row r="8" spans="1:3" x14ac:dyDescent="0.2">
      <c r="A8" s="58" t="s">
        <v>152</v>
      </c>
      <c r="B8" s="49" t="s">
        <v>153</v>
      </c>
      <c r="C8" s="49" t="s">
        <v>154</v>
      </c>
    </row>
    <row r="10" spans="1:3" ht="17" x14ac:dyDescent="0.2">
      <c r="A10" s="56" t="s">
        <v>155</v>
      </c>
      <c r="B10" s="56"/>
      <c r="C10" s="56"/>
    </row>
    <row r="11" spans="1:3" x14ac:dyDescent="0.2">
      <c r="A11" s="51" t="s">
        <v>156</v>
      </c>
    </row>
    <row r="12" spans="1:3" x14ac:dyDescent="0.2">
      <c r="A12" s="51" t="s">
        <v>157</v>
      </c>
    </row>
    <row r="13" spans="1:3" x14ac:dyDescent="0.2">
      <c r="A13" s="51" t="s">
        <v>158</v>
      </c>
    </row>
    <row r="14" spans="1:3" x14ac:dyDescent="0.2">
      <c r="A14" s="51" t="s">
        <v>159</v>
      </c>
    </row>
    <row r="16" spans="1:3" ht="17" x14ac:dyDescent="0.2">
      <c r="A16" s="57" t="s">
        <v>160</v>
      </c>
      <c r="B16" s="57"/>
      <c r="C16" s="57"/>
    </row>
    <row r="17" spans="1:1" x14ac:dyDescent="0.2">
      <c r="A17" s="52" t="s">
        <v>161</v>
      </c>
    </row>
    <row r="18" spans="1:1" x14ac:dyDescent="0.2">
      <c r="A18" s="1" t="s">
        <v>162</v>
      </c>
    </row>
    <row r="20" spans="1:1" x14ac:dyDescent="0.2">
      <c r="A20" s="53" t="s">
        <v>163</v>
      </c>
    </row>
    <row r="21" spans="1:1" x14ac:dyDescent="0.2">
      <c r="A21" s="7" t="s">
        <v>164</v>
      </c>
    </row>
    <row r="22" spans="1:1" x14ac:dyDescent="0.2">
      <c r="A22" s="7" t="s">
        <v>165</v>
      </c>
    </row>
    <row r="23" spans="1:1" x14ac:dyDescent="0.2">
      <c r="A23" s="7" t="s">
        <v>166</v>
      </c>
    </row>
    <row r="24" spans="1:1" x14ac:dyDescent="0.2">
      <c r="A24" s="7" t="s">
        <v>167</v>
      </c>
    </row>
    <row r="25" spans="1:1" x14ac:dyDescent="0.2">
      <c r="A25" s="8" t="s">
        <v>168</v>
      </c>
    </row>
  </sheetData>
  <mergeCells count="4">
    <mergeCell ref="A1:C1"/>
    <mergeCell ref="A2:C2"/>
    <mergeCell ref="A10:C10"/>
    <mergeCell ref="A16:C16"/>
  </mergeCells>
  <hyperlinks>
    <hyperlink ref="A5" location="'1. Quadratische Funktion'!A1" tooltip="Zum Sheet springen" display="1. Quadratische Funktion" xr:uid="{EA89279F-DD2B-2944-B0B9-7D060A6003B0}"/>
    <hyperlink ref="A6" location="'2. Neuronales Netz'!A1" tooltip="Zum Sheet springen" display="2. Neuronales Netz" xr:uid="{DA4CFB86-CFD0-A540-9BAC-EEB8509733E1}"/>
    <hyperlink ref="A7" location="'3. Gradient Descent'!A1" tooltip="Zum Sheet springen" display="3. Gradient Descent" xr:uid="{E10E53EF-589E-9E4D-A447-5C8D27A85202}"/>
    <hyperlink ref="A8" location="'4. Titanic'!A1" tooltip="Zum Sheet springen" display="4. Titanic" xr:uid="{4FB02CDF-D1DF-D34A-97EC-6BBD848FF879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6B47-6A48-8047-A44E-3708FF949D33}">
  <dimension ref="A1:G31"/>
  <sheetViews>
    <sheetView workbookViewId="0">
      <selection sqref="A1:G1"/>
    </sheetView>
  </sheetViews>
  <sheetFormatPr baseColWidth="10" defaultRowHeight="16" x14ac:dyDescent="0.2"/>
  <cols>
    <col min="1" max="4" width="15" customWidth="1"/>
    <col min="5" max="5" width="46.6640625" customWidth="1"/>
  </cols>
  <sheetData>
    <row r="1" spans="1:7" ht="21" x14ac:dyDescent="0.25">
      <c r="A1" s="25" t="s">
        <v>51</v>
      </c>
      <c r="B1" s="25"/>
      <c r="C1" s="25"/>
      <c r="D1" s="25"/>
      <c r="E1" s="25"/>
      <c r="F1" s="25"/>
      <c r="G1" s="25"/>
    </row>
    <row r="2" spans="1:7" x14ac:dyDescent="0.2">
      <c r="A2" s="2" t="s">
        <v>52</v>
      </c>
    </row>
    <row r="4" spans="1:7" ht="17" x14ac:dyDescent="0.2">
      <c r="A4" s="26" t="s">
        <v>53</v>
      </c>
      <c r="B4" s="26"/>
      <c r="C4" s="26"/>
      <c r="D4" s="26"/>
      <c r="E4" s="26"/>
      <c r="F4" s="26"/>
      <c r="G4" s="26"/>
    </row>
    <row r="5" spans="1:7" x14ac:dyDescent="0.2">
      <c r="A5" s="13" t="s">
        <v>54</v>
      </c>
    </row>
    <row r="6" spans="1:7" x14ac:dyDescent="0.2">
      <c r="A6" s="1" t="s">
        <v>55</v>
      </c>
    </row>
    <row r="8" spans="1:7" ht="17" x14ac:dyDescent="0.2">
      <c r="A8" s="26" t="s">
        <v>56</v>
      </c>
      <c r="B8" s="26"/>
      <c r="C8" s="26"/>
      <c r="D8" s="26"/>
      <c r="E8" s="26"/>
      <c r="F8" s="26"/>
      <c r="G8" s="26"/>
    </row>
    <row r="9" spans="1:7" x14ac:dyDescent="0.2">
      <c r="A9" t="s">
        <v>57</v>
      </c>
    </row>
    <row r="11" spans="1:7" x14ac:dyDescent="0.2">
      <c r="A11" s="10" t="s">
        <v>58</v>
      </c>
      <c r="B11" s="10" t="s">
        <v>59</v>
      </c>
      <c r="C11" s="10" t="s">
        <v>60</v>
      </c>
      <c r="E11" s="38" t="s">
        <v>61</v>
      </c>
    </row>
    <row r="12" spans="1:7" x14ac:dyDescent="0.2">
      <c r="A12" s="6">
        <v>0.5</v>
      </c>
      <c r="B12" s="6">
        <v>0</v>
      </c>
      <c r="C12" s="6">
        <v>1</v>
      </c>
      <c r="E12" s="1" t="s">
        <v>62</v>
      </c>
    </row>
    <row r="13" spans="1:7" x14ac:dyDescent="0.2">
      <c r="E13" s="1" t="s">
        <v>63</v>
      </c>
    </row>
    <row r="14" spans="1:7" x14ac:dyDescent="0.2">
      <c r="A14" s="14" t="s">
        <v>0</v>
      </c>
      <c r="B14" s="14" t="s">
        <v>24</v>
      </c>
      <c r="C14" s="17" t="s">
        <v>65</v>
      </c>
      <c r="D14" s="18" t="s">
        <v>66</v>
      </c>
      <c r="E14" s="1" t="s">
        <v>64</v>
      </c>
    </row>
    <row r="15" spans="1:7" x14ac:dyDescent="0.2">
      <c r="A15" s="19">
        <v>-3</v>
      </c>
      <c r="B15" s="19">
        <v>9</v>
      </c>
      <c r="C15" s="40">
        <f>$A$12*A15^2+$B$12*A15+$C$12</f>
        <v>5.5</v>
      </c>
      <c r="D15" s="20">
        <f>(B15-C15)^2</f>
        <v>12.25</v>
      </c>
    </row>
    <row r="16" spans="1:7" x14ac:dyDescent="0.2">
      <c r="A16" s="19">
        <v>-2</v>
      </c>
      <c r="B16" s="19">
        <v>4</v>
      </c>
      <c r="C16" s="19">
        <v>-2</v>
      </c>
      <c r="D16" s="19">
        <v>4</v>
      </c>
      <c r="E16" s="39">
        <f>$A$12*C16^2+$B$12*C16+$C$12</f>
        <v>3</v>
      </c>
      <c r="F16" s="12">
        <f>(D16-E16)^2</f>
        <v>1</v>
      </c>
    </row>
    <row r="17" spans="1:7" x14ac:dyDescent="0.2">
      <c r="A17" s="19">
        <v>-1</v>
      </c>
      <c r="B17" s="19">
        <v>1</v>
      </c>
      <c r="C17" s="19">
        <v>-1</v>
      </c>
      <c r="D17" s="19">
        <v>1</v>
      </c>
    </row>
    <row r="18" spans="1:7" x14ac:dyDescent="0.2">
      <c r="A18" s="19">
        <v>0</v>
      </c>
      <c r="B18" s="19">
        <v>0</v>
      </c>
      <c r="C18" s="19">
        <v>0</v>
      </c>
      <c r="D18" s="19">
        <v>0</v>
      </c>
    </row>
    <row r="19" spans="1:7" x14ac:dyDescent="0.2">
      <c r="A19" s="19">
        <v>1</v>
      </c>
      <c r="B19" s="19">
        <v>1</v>
      </c>
      <c r="C19" s="19">
        <v>1</v>
      </c>
      <c r="D19" s="19">
        <v>1</v>
      </c>
    </row>
    <row r="20" spans="1:7" x14ac:dyDescent="0.2">
      <c r="A20" s="19">
        <v>2</v>
      </c>
      <c r="B20" s="19">
        <v>4</v>
      </c>
      <c r="C20" s="19">
        <v>2</v>
      </c>
      <c r="D20" s="19">
        <v>4</v>
      </c>
    </row>
    <row r="21" spans="1:7" x14ac:dyDescent="0.2">
      <c r="A21" s="19">
        <v>3</v>
      </c>
      <c r="B21" s="19">
        <v>9</v>
      </c>
      <c r="C21" s="19">
        <v>3</v>
      </c>
      <c r="D21" s="19">
        <v>9</v>
      </c>
    </row>
    <row r="23" spans="1:7" ht="17" x14ac:dyDescent="0.2">
      <c r="A23" s="22" t="s">
        <v>32</v>
      </c>
      <c r="B23" s="23">
        <f>AVERAGE(D15:D21)</f>
        <v>4.4642857142857144</v>
      </c>
      <c r="C23" s="8" t="s">
        <v>67</v>
      </c>
    </row>
    <row r="25" spans="1:7" ht="17" x14ac:dyDescent="0.2">
      <c r="A25" s="27" t="s">
        <v>68</v>
      </c>
      <c r="B25" s="27"/>
      <c r="C25" s="27"/>
      <c r="D25" s="27"/>
      <c r="E25" s="27"/>
      <c r="F25" s="27"/>
      <c r="G25" s="27"/>
    </row>
    <row r="26" spans="1:7" x14ac:dyDescent="0.2">
      <c r="A26" s="13" t="s">
        <v>69</v>
      </c>
    </row>
    <row r="28" spans="1:7" ht="17" x14ac:dyDescent="0.2">
      <c r="A28" s="28" t="s">
        <v>70</v>
      </c>
      <c r="B28" s="28"/>
      <c r="C28" s="28"/>
      <c r="D28" s="28"/>
      <c r="E28" s="28"/>
      <c r="F28" s="28"/>
      <c r="G28" s="28"/>
    </row>
    <row r="29" spans="1:7" x14ac:dyDescent="0.2">
      <c r="A29" t="s">
        <v>71</v>
      </c>
    </row>
    <row r="30" spans="1:7" x14ac:dyDescent="0.2">
      <c r="A30" t="s">
        <v>72</v>
      </c>
    </row>
    <row r="31" spans="1:7" x14ac:dyDescent="0.2">
      <c r="A31" s="8" t="s">
        <v>73</v>
      </c>
    </row>
  </sheetData>
  <mergeCells count="5">
    <mergeCell ref="A1:G1"/>
    <mergeCell ref="A4:G4"/>
    <mergeCell ref="A8:G8"/>
    <mergeCell ref="A25:G25"/>
    <mergeCell ref="A28:G28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F89D-DCCD-3048-9C24-8163E8AA1106}">
  <dimension ref="A1:G54"/>
  <sheetViews>
    <sheetView zoomScale="133" workbookViewId="0">
      <selection activeCell="A26" sqref="A26"/>
    </sheetView>
  </sheetViews>
  <sheetFormatPr baseColWidth="10" defaultRowHeight="16" x14ac:dyDescent="0.2"/>
  <cols>
    <col min="1" max="2" width="12.5" customWidth="1"/>
    <col min="3" max="4" width="15.83203125" customWidth="1"/>
    <col min="5" max="5" width="18.33203125" customWidth="1"/>
    <col min="6" max="6" width="21.6640625" customWidth="1"/>
    <col min="7" max="7" width="41.6640625" customWidth="1"/>
    <col min="8" max="8" width="21.6640625" customWidth="1"/>
    <col min="9" max="9" width="3.33203125" customWidth="1"/>
    <col min="10" max="10" width="63.33203125" customWidth="1"/>
  </cols>
  <sheetData>
    <row r="1" spans="1:7" ht="21" x14ac:dyDescent="0.25">
      <c r="A1" s="25" t="s">
        <v>1</v>
      </c>
      <c r="B1" s="25"/>
      <c r="C1" s="25"/>
      <c r="D1" s="25"/>
      <c r="E1" s="25"/>
      <c r="F1" s="25"/>
      <c r="G1" s="25"/>
    </row>
    <row r="2" spans="1:7" x14ac:dyDescent="0.2">
      <c r="A2" s="2" t="s">
        <v>2</v>
      </c>
    </row>
    <row r="4" spans="1:7" ht="17" x14ac:dyDescent="0.2">
      <c r="A4" s="26" t="s">
        <v>3</v>
      </c>
      <c r="B4" s="26"/>
      <c r="C4" s="26"/>
      <c r="D4" s="26"/>
      <c r="E4" s="26"/>
      <c r="F4" s="26"/>
      <c r="G4" s="26"/>
    </row>
    <row r="5" spans="1:7" x14ac:dyDescent="0.2">
      <c r="A5" t="s">
        <v>4</v>
      </c>
    </row>
    <row r="6" spans="1:7" x14ac:dyDescent="0.2">
      <c r="A6" s="1" t="s">
        <v>5</v>
      </c>
    </row>
    <row r="8" spans="1:7" x14ac:dyDescent="0.2">
      <c r="A8" s="14" t="s">
        <v>6</v>
      </c>
      <c r="B8" s="14" t="s">
        <v>7</v>
      </c>
      <c r="C8" s="29" t="s">
        <v>8</v>
      </c>
    </row>
    <row r="9" spans="1:7" x14ac:dyDescent="0.2">
      <c r="A9" s="19">
        <v>-3</v>
      </c>
      <c r="B9" s="30">
        <f>MAX(0,A9)</f>
        <v>0</v>
      </c>
      <c r="C9" s="31" t="s">
        <v>9</v>
      </c>
    </row>
    <row r="10" spans="1:7" x14ac:dyDescent="0.2">
      <c r="A10" s="19">
        <v>-1</v>
      </c>
      <c r="B10" s="30">
        <f>MAX(0,A10)</f>
        <v>0</v>
      </c>
      <c r="C10" s="31" t="s">
        <v>9</v>
      </c>
    </row>
    <row r="11" spans="1:7" x14ac:dyDescent="0.2">
      <c r="A11" s="19">
        <v>0</v>
      </c>
      <c r="B11" s="30">
        <f>MAX(0,A11)</f>
        <v>0</v>
      </c>
      <c r="C11" s="31" t="s">
        <v>10</v>
      </c>
    </row>
    <row r="12" spans="1:7" x14ac:dyDescent="0.2">
      <c r="A12" s="19">
        <v>1</v>
      </c>
      <c r="B12" s="30">
        <f>MAX(0,A12)</f>
        <v>1</v>
      </c>
      <c r="C12" s="31" t="s">
        <v>11</v>
      </c>
    </row>
    <row r="13" spans="1:7" x14ac:dyDescent="0.2">
      <c r="A13" s="19">
        <v>3</v>
      </c>
      <c r="B13" s="30">
        <f>MAX(0,A13)</f>
        <v>3</v>
      </c>
      <c r="C13" s="31" t="s">
        <v>11</v>
      </c>
    </row>
    <row r="15" spans="1:7" ht="17" x14ac:dyDescent="0.2">
      <c r="A15" s="26" t="s">
        <v>12</v>
      </c>
      <c r="B15" s="26"/>
      <c r="C15" s="26"/>
      <c r="D15" s="26"/>
      <c r="E15" s="26"/>
      <c r="F15" s="26"/>
      <c r="G15" s="26"/>
    </row>
    <row r="16" spans="1:7" x14ac:dyDescent="0.2">
      <c r="A16" t="s">
        <v>13</v>
      </c>
    </row>
    <row r="17" spans="1:7" x14ac:dyDescent="0.2">
      <c r="A17" s="1" t="s">
        <v>14</v>
      </c>
    </row>
    <row r="19" spans="1:7" ht="17" x14ac:dyDescent="0.2">
      <c r="A19" s="26" t="s">
        <v>15</v>
      </c>
      <c r="B19" s="26"/>
      <c r="C19" s="26"/>
      <c r="D19" s="26"/>
      <c r="E19" s="26"/>
      <c r="F19" s="26"/>
      <c r="G19" s="26"/>
    </row>
    <row r="20" spans="1:7" x14ac:dyDescent="0.2">
      <c r="A20" t="s">
        <v>16</v>
      </c>
    </row>
    <row r="21" spans="1:7" x14ac:dyDescent="0.2">
      <c r="A21" s="1" t="s">
        <v>17</v>
      </c>
    </row>
    <row r="23" spans="1:7" x14ac:dyDescent="0.2">
      <c r="A23" s="10" t="s">
        <v>18</v>
      </c>
      <c r="B23" s="4"/>
      <c r="D23" s="11" t="s">
        <v>19</v>
      </c>
      <c r="E23" s="5"/>
      <c r="G23" s="9" t="s">
        <v>45</v>
      </c>
    </row>
    <row r="24" spans="1:7" x14ac:dyDescent="0.2">
      <c r="A24" s="21" t="s">
        <v>20</v>
      </c>
      <c r="B24" s="21" t="s">
        <v>21</v>
      </c>
      <c r="D24" s="21" t="s">
        <v>22</v>
      </c>
      <c r="E24" s="21" t="s">
        <v>23</v>
      </c>
      <c r="G24" s="36" t="s">
        <v>46</v>
      </c>
    </row>
    <row r="25" spans="1:7" x14ac:dyDescent="0.2">
      <c r="A25" s="6">
        <v>-1</v>
      </c>
      <c r="B25" s="6">
        <v>0</v>
      </c>
      <c r="D25" s="6">
        <v>1</v>
      </c>
      <c r="E25" s="6">
        <v>0</v>
      </c>
      <c r="G25" s="2" t="s">
        <v>47</v>
      </c>
    </row>
    <row r="26" spans="1:7" x14ac:dyDescent="0.2">
      <c r="G26" s="1" t="s">
        <v>48</v>
      </c>
    </row>
    <row r="27" spans="1:7" x14ac:dyDescent="0.2">
      <c r="A27" s="14" t="s">
        <v>0</v>
      </c>
      <c r="B27" s="14" t="s">
        <v>24</v>
      </c>
      <c r="C27" s="15" t="s">
        <v>25</v>
      </c>
      <c r="D27" s="16" t="s">
        <v>26</v>
      </c>
      <c r="E27" s="17" t="s">
        <v>27</v>
      </c>
      <c r="F27" s="18" t="s">
        <v>28</v>
      </c>
      <c r="G27" s="1" t="s">
        <v>49</v>
      </c>
    </row>
    <row r="28" spans="1:7" x14ac:dyDescent="0.2">
      <c r="A28" s="19">
        <v>-3</v>
      </c>
      <c r="B28" s="19">
        <v>3</v>
      </c>
      <c r="C28" s="32">
        <f>MAX(0,$A$25*A28+$B$25)</f>
        <v>3</v>
      </c>
      <c r="D28" s="33">
        <f>MAX(0,$D$25*A28+$E$25)</f>
        <v>0</v>
      </c>
      <c r="E28" s="34">
        <f>C28+D28</f>
        <v>3</v>
      </c>
      <c r="F28" s="20">
        <f>(B28-E28)^2</f>
        <v>0</v>
      </c>
      <c r="G28" s="37" t="s">
        <v>50</v>
      </c>
    </row>
    <row r="29" spans="1:7" x14ac:dyDescent="0.2">
      <c r="A29" s="19">
        <v>-2</v>
      </c>
      <c r="B29" s="19">
        <v>2</v>
      </c>
      <c r="C29" s="32">
        <f t="shared" ref="C29:C34" si="0">MAX(0,$A$25*A29+$B$25)</f>
        <v>2</v>
      </c>
      <c r="D29" s="33">
        <f t="shared" ref="D29:D34" si="1">MAX(0,$D$25*A29+$E$25)</f>
        <v>0</v>
      </c>
      <c r="E29" s="34">
        <f t="shared" ref="E29:E34" si="2">C29+D29</f>
        <v>2</v>
      </c>
      <c r="F29" s="20">
        <f t="shared" ref="F29:F34" si="3">(B29-E29)^2</f>
        <v>0</v>
      </c>
    </row>
    <row r="30" spans="1:7" x14ac:dyDescent="0.2">
      <c r="A30" s="19">
        <v>-1</v>
      </c>
      <c r="B30" s="19">
        <v>1</v>
      </c>
      <c r="C30" s="32">
        <f t="shared" si="0"/>
        <v>1</v>
      </c>
      <c r="D30" s="33">
        <f t="shared" si="1"/>
        <v>0</v>
      </c>
      <c r="E30" s="34">
        <f t="shared" si="2"/>
        <v>1</v>
      </c>
      <c r="F30" s="20">
        <f t="shared" si="3"/>
        <v>0</v>
      </c>
    </row>
    <row r="31" spans="1:7" x14ac:dyDescent="0.2">
      <c r="A31" s="19">
        <v>0</v>
      </c>
      <c r="B31" s="19">
        <v>0</v>
      </c>
      <c r="C31" s="32">
        <f t="shared" si="0"/>
        <v>0</v>
      </c>
      <c r="D31" s="33">
        <f t="shared" si="1"/>
        <v>0</v>
      </c>
      <c r="E31" s="34">
        <f t="shared" si="2"/>
        <v>0</v>
      </c>
      <c r="F31" s="20">
        <f t="shared" si="3"/>
        <v>0</v>
      </c>
    </row>
    <row r="32" spans="1:7" x14ac:dyDescent="0.2">
      <c r="A32" s="19">
        <v>1</v>
      </c>
      <c r="B32" s="19">
        <v>1</v>
      </c>
      <c r="C32" s="32">
        <f t="shared" si="0"/>
        <v>0</v>
      </c>
      <c r="D32" s="33">
        <f t="shared" si="1"/>
        <v>1</v>
      </c>
      <c r="E32" s="34">
        <f t="shared" si="2"/>
        <v>1</v>
      </c>
      <c r="F32" s="20">
        <f t="shared" si="3"/>
        <v>0</v>
      </c>
    </row>
    <row r="33" spans="1:7" x14ac:dyDescent="0.2">
      <c r="A33" s="19">
        <v>2</v>
      </c>
      <c r="B33" s="19">
        <v>2</v>
      </c>
      <c r="C33" s="32">
        <f t="shared" si="0"/>
        <v>0</v>
      </c>
      <c r="D33" s="33">
        <f t="shared" si="1"/>
        <v>2</v>
      </c>
      <c r="E33" s="34">
        <f t="shared" si="2"/>
        <v>2</v>
      </c>
      <c r="F33" s="20">
        <f t="shared" si="3"/>
        <v>0</v>
      </c>
    </row>
    <row r="34" spans="1:7" x14ac:dyDescent="0.2">
      <c r="A34" s="19">
        <v>3</v>
      </c>
      <c r="B34" s="19">
        <v>3</v>
      </c>
      <c r="C34" s="32">
        <f t="shared" si="0"/>
        <v>0</v>
      </c>
      <c r="D34" s="33">
        <f t="shared" si="1"/>
        <v>3</v>
      </c>
      <c r="E34" s="34">
        <f t="shared" si="2"/>
        <v>3</v>
      </c>
      <c r="F34" s="20">
        <f t="shared" si="3"/>
        <v>0</v>
      </c>
    </row>
    <row r="36" spans="1:7" ht="17" x14ac:dyDescent="0.2">
      <c r="A36" s="26" t="s">
        <v>29</v>
      </c>
      <c r="B36" s="26"/>
      <c r="C36" s="26"/>
      <c r="D36" s="26"/>
      <c r="E36" s="26"/>
      <c r="F36" s="26"/>
      <c r="G36" s="26"/>
    </row>
    <row r="37" spans="1:7" x14ac:dyDescent="0.2">
      <c r="A37" t="s">
        <v>30</v>
      </c>
    </row>
    <row r="38" spans="1:7" x14ac:dyDescent="0.2">
      <c r="A38" s="1" t="s">
        <v>31</v>
      </c>
    </row>
    <row r="39" spans="1:7" ht="17" thickBot="1" x14ac:dyDescent="0.25"/>
    <row r="40" spans="1:7" ht="19" thickTop="1" thickBot="1" x14ac:dyDescent="0.25">
      <c r="A40" s="22" t="s">
        <v>32</v>
      </c>
      <c r="B40" s="35">
        <f>AVERAGE(F28:F34)</f>
        <v>0</v>
      </c>
      <c r="C40" s="8" t="s">
        <v>33</v>
      </c>
    </row>
    <row r="41" spans="1:7" ht="17" thickTop="1" x14ac:dyDescent="0.2"/>
    <row r="42" spans="1:7" ht="17" x14ac:dyDescent="0.2">
      <c r="A42" s="27" t="s">
        <v>34</v>
      </c>
      <c r="B42" s="27"/>
      <c r="C42" s="27"/>
      <c r="D42" s="27"/>
      <c r="E42" s="27"/>
      <c r="F42" s="27"/>
      <c r="G42" s="27"/>
    </row>
    <row r="43" spans="1:7" x14ac:dyDescent="0.2">
      <c r="A43" s="13" t="s">
        <v>35</v>
      </c>
    </row>
    <row r="44" spans="1:7" x14ac:dyDescent="0.2">
      <c r="A44" s="1" t="s">
        <v>36</v>
      </c>
    </row>
    <row r="45" spans="1:7" x14ac:dyDescent="0.2">
      <c r="A45" s="1" t="s">
        <v>37</v>
      </c>
    </row>
    <row r="47" spans="1:7" ht="17" x14ac:dyDescent="0.2">
      <c r="A47" s="28" t="s">
        <v>38</v>
      </c>
      <c r="B47" s="28"/>
      <c r="C47" s="28"/>
      <c r="D47" s="28"/>
      <c r="E47" s="28"/>
      <c r="F47" s="28"/>
      <c r="G47" s="28"/>
    </row>
    <row r="48" spans="1:7" x14ac:dyDescent="0.2">
      <c r="A48" t="s">
        <v>39</v>
      </c>
    </row>
    <row r="49" spans="1:1" x14ac:dyDescent="0.2">
      <c r="A49" t="s">
        <v>40</v>
      </c>
    </row>
    <row r="50" spans="1:1" x14ac:dyDescent="0.2">
      <c r="A50" s="1" t="s">
        <v>41</v>
      </c>
    </row>
    <row r="51" spans="1:1" x14ac:dyDescent="0.2">
      <c r="A51" s="1" t="s">
        <v>42</v>
      </c>
    </row>
    <row r="53" spans="1:1" x14ac:dyDescent="0.2">
      <c r="A53" s="24" t="s">
        <v>43</v>
      </c>
    </row>
    <row r="54" spans="1:1" x14ac:dyDescent="0.2">
      <c r="A54" s="2" t="s">
        <v>44</v>
      </c>
    </row>
  </sheetData>
  <mergeCells count="7">
    <mergeCell ref="A47:G47"/>
    <mergeCell ref="A1:G1"/>
    <mergeCell ref="A4:G4"/>
    <mergeCell ref="A15:G15"/>
    <mergeCell ref="A19:G19"/>
    <mergeCell ref="A36:G36"/>
    <mergeCell ref="A42:G42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8DD8-E2E0-364F-AA70-86F8FAF3E162}">
  <dimension ref="A1:G38"/>
  <sheetViews>
    <sheetView workbookViewId="0">
      <selection activeCell="E42" sqref="E42"/>
    </sheetView>
  </sheetViews>
  <sheetFormatPr baseColWidth="10" defaultRowHeight="16" x14ac:dyDescent="0.2"/>
  <cols>
    <col min="1" max="5" width="15" customWidth="1"/>
    <col min="6" max="6" width="3.33203125" customWidth="1"/>
    <col min="7" max="7" width="46.6640625" customWidth="1"/>
  </cols>
  <sheetData>
    <row r="1" spans="1:7" ht="21" x14ac:dyDescent="0.25">
      <c r="A1" s="25" t="s">
        <v>74</v>
      </c>
      <c r="B1" s="25"/>
      <c r="C1" s="25"/>
      <c r="D1" s="25"/>
      <c r="E1" s="25"/>
      <c r="F1" s="25"/>
      <c r="G1" s="25"/>
    </row>
    <row r="2" spans="1:7" x14ac:dyDescent="0.2">
      <c r="A2" s="2" t="s">
        <v>75</v>
      </c>
    </row>
    <row r="4" spans="1:7" ht="17" x14ac:dyDescent="0.2">
      <c r="A4" s="26" t="s">
        <v>76</v>
      </c>
      <c r="B4" s="26"/>
      <c r="C4" s="26"/>
      <c r="D4" s="26"/>
      <c r="E4" s="26"/>
      <c r="F4" s="26"/>
      <c r="G4" s="26"/>
    </row>
    <row r="5" spans="1:7" x14ac:dyDescent="0.2">
      <c r="A5" t="s">
        <v>77</v>
      </c>
    </row>
    <row r="6" spans="1:7" x14ac:dyDescent="0.2">
      <c r="A6" t="s">
        <v>78</v>
      </c>
    </row>
    <row r="7" spans="1:7" x14ac:dyDescent="0.2">
      <c r="A7" s="24" t="s">
        <v>79</v>
      </c>
    </row>
    <row r="8" spans="1:7" x14ac:dyDescent="0.2">
      <c r="A8" s="1" t="s">
        <v>80</v>
      </c>
    </row>
    <row r="10" spans="1:7" ht="17" x14ac:dyDescent="0.2">
      <c r="A10" s="26" t="s">
        <v>81</v>
      </c>
      <c r="B10" s="26"/>
      <c r="C10" s="26"/>
      <c r="D10" s="26"/>
      <c r="E10" s="26"/>
      <c r="F10" s="26"/>
      <c r="G10" s="26"/>
    </row>
    <row r="11" spans="1:7" x14ac:dyDescent="0.2">
      <c r="A11" t="s">
        <v>82</v>
      </c>
    </row>
    <row r="13" spans="1:7" x14ac:dyDescent="0.2">
      <c r="A13" s="3" t="s">
        <v>83</v>
      </c>
      <c r="B13" s="41">
        <v>0.05</v>
      </c>
      <c r="C13" s="8" t="s">
        <v>84</v>
      </c>
    </row>
    <row r="14" spans="1:7" x14ac:dyDescent="0.2">
      <c r="A14" s="3" t="s">
        <v>85</v>
      </c>
      <c r="B14" s="42">
        <v>-3</v>
      </c>
      <c r="C14" s="8" t="s">
        <v>86</v>
      </c>
    </row>
    <row r="16" spans="1:7" x14ac:dyDescent="0.2">
      <c r="A16" s="14" t="s">
        <v>87</v>
      </c>
      <c r="B16" s="14" t="s">
        <v>88</v>
      </c>
      <c r="C16" s="18" t="s">
        <v>89</v>
      </c>
      <c r="D16" s="15" t="s">
        <v>90</v>
      </c>
      <c r="E16" s="17" t="s">
        <v>91</v>
      </c>
      <c r="G16" s="9" t="s">
        <v>8</v>
      </c>
    </row>
    <row r="17" spans="1:7" x14ac:dyDescent="0.2">
      <c r="A17" s="19">
        <v>0</v>
      </c>
      <c r="B17" s="43">
        <f>B14</f>
        <v>-3</v>
      </c>
      <c r="C17" s="44">
        <f>((2-B17)^2 + (4-B17*2)^2 + (6-B17*3)^2)/3</f>
        <v>116.66666666666667</v>
      </c>
      <c r="D17" s="45">
        <f>(-2*1*(2-B17*1) + -2*2*(4-B17*2) + -2*3*(6-B17*3))/3</f>
        <v>-46.666666666666664</v>
      </c>
      <c r="E17" s="46">
        <f>B17-$B$13*D17</f>
        <v>-0.66666666666666652</v>
      </c>
      <c r="G17" t="s">
        <v>92</v>
      </c>
    </row>
    <row r="18" spans="1:7" x14ac:dyDescent="0.2">
      <c r="A18" s="19">
        <f>A17+1</f>
        <v>1</v>
      </c>
      <c r="B18" s="43">
        <f>E17</f>
        <v>-0.66666666666666652</v>
      </c>
      <c r="C18" s="44">
        <f>((2-B18)^2 + (4-B18*2)^2 + (6-B18*3)^2)/3</f>
        <v>33.185185185185183</v>
      </c>
      <c r="D18" s="45">
        <f>(-2*1*(2-B18*1) + -2*2*(4-B18*2) + -2*3*(6-B18*3))/3</f>
        <v>-24.888888888888886</v>
      </c>
      <c r="E18" s="46">
        <f>B18-$B$13*D18</f>
        <v>0.57777777777777795</v>
      </c>
      <c r="G18" t="s">
        <v>93</v>
      </c>
    </row>
    <row r="19" spans="1:7" x14ac:dyDescent="0.2">
      <c r="A19" s="19">
        <f t="shared" ref="A19:A32" si="0">A18+1</f>
        <v>2</v>
      </c>
      <c r="B19" s="43">
        <f t="shared" ref="B19:B32" si="1">E18</f>
        <v>0.57777777777777795</v>
      </c>
      <c r="C19" s="44">
        <f t="shared" ref="C19:C32" si="2">((2-B19)^2 + (4-B19*2)^2 + (6-B19*3)^2)/3</f>
        <v>9.4393415637860052</v>
      </c>
      <c r="D19" s="45">
        <f t="shared" ref="D19:D32" si="3">(-2*1*(2-B19*1) + -2*2*(4-B19*2) + -2*3*(6-B19*3))/3</f>
        <v>-13.274074074074072</v>
      </c>
      <c r="E19" s="46">
        <f t="shared" ref="E19:E32" si="4">B19-$B$13*D19</f>
        <v>1.2414814814814816</v>
      </c>
    </row>
    <row r="20" spans="1:7" x14ac:dyDescent="0.2">
      <c r="A20" s="19">
        <f t="shared" si="0"/>
        <v>3</v>
      </c>
      <c r="B20" s="43">
        <f t="shared" si="1"/>
        <v>1.2414814814814816</v>
      </c>
      <c r="C20" s="44">
        <f t="shared" si="2"/>
        <v>2.6849682670324633</v>
      </c>
      <c r="D20" s="45">
        <f t="shared" si="3"/>
        <v>-7.0795061728395048</v>
      </c>
      <c r="E20" s="46">
        <f t="shared" si="4"/>
        <v>1.5954567901234569</v>
      </c>
    </row>
    <row r="21" spans="1:7" x14ac:dyDescent="0.2">
      <c r="A21" s="19">
        <f t="shared" si="0"/>
        <v>4</v>
      </c>
      <c r="B21" s="43">
        <f t="shared" si="1"/>
        <v>1.5954567901234569</v>
      </c>
      <c r="C21" s="44">
        <f t="shared" si="2"/>
        <v>0.76372430706701178</v>
      </c>
      <c r="D21" s="45">
        <f t="shared" si="3"/>
        <v>-3.7757366255144027</v>
      </c>
      <c r="E21" s="46">
        <f t="shared" si="4"/>
        <v>1.784243621399177</v>
      </c>
    </row>
    <row r="22" spans="1:7" x14ac:dyDescent="0.2">
      <c r="A22" s="19">
        <f t="shared" si="0"/>
        <v>5</v>
      </c>
      <c r="B22" s="43">
        <f t="shared" si="1"/>
        <v>1.784243621399177</v>
      </c>
      <c r="C22" s="44">
        <f t="shared" si="2"/>
        <v>0.2172371362323946</v>
      </c>
      <c r="D22" s="45">
        <f t="shared" si="3"/>
        <v>-2.0137262002743488</v>
      </c>
      <c r="E22" s="46">
        <f t="shared" si="4"/>
        <v>1.8849299314128944</v>
      </c>
      <c r="G22" t="s">
        <v>94</v>
      </c>
    </row>
    <row r="23" spans="1:7" x14ac:dyDescent="0.2">
      <c r="A23" s="19">
        <f t="shared" si="0"/>
        <v>6</v>
      </c>
      <c r="B23" s="43">
        <f t="shared" si="1"/>
        <v>1.8849299314128944</v>
      </c>
      <c r="C23" s="44">
        <f t="shared" si="2"/>
        <v>6.1791896528325597E-2</v>
      </c>
      <c r="D23" s="45">
        <f t="shared" si="3"/>
        <v>-1.0739873068129862</v>
      </c>
      <c r="E23" s="46">
        <f t="shared" si="4"/>
        <v>1.9386292967535437</v>
      </c>
    </row>
    <row r="24" spans="1:7" x14ac:dyDescent="0.2">
      <c r="A24" s="19">
        <f t="shared" si="0"/>
        <v>7</v>
      </c>
      <c r="B24" s="43">
        <f t="shared" si="1"/>
        <v>1.9386292967535437</v>
      </c>
      <c r="C24" s="44">
        <f t="shared" si="2"/>
        <v>1.7576361679168102E-2</v>
      </c>
      <c r="D24" s="45">
        <f t="shared" si="3"/>
        <v>-0.57279323030025819</v>
      </c>
      <c r="E24" s="46">
        <f t="shared" si="4"/>
        <v>1.9672689582685565</v>
      </c>
    </row>
    <row r="25" spans="1:7" x14ac:dyDescent="0.2">
      <c r="A25" s="19">
        <f t="shared" si="0"/>
        <v>8</v>
      </c>
      <c r="B25" s="43">
        <f t="shared" si="1"/>
        <v>1.9672689582685565</v>
      </c>
      <c r="C25" s="44">
        <f t="shared" si="2"/>
        <v>4.9994984331856555E-3</v>
      </c>
      <c r="D25" s="45">
        <f t="shared" si="3"/>
        <v>-0.30548972282680625</v>
      </c>
      <c r="E25" s="46">
        <f t="shared" si="4"/>
        <v>1.9825434444098968</v>
      </c>
    </row>
    <row r="26" spans="1:7" x14ac:dyDescent="0.2">
      <c r="A26" s="19">
        <f t="shared" si="0"/>
        <v>9</v>
      </c>
      <c r="B26" s="43">
        <f t="shared" si="1"/>
        <v>1.9825434444098968</v>
      </c>
      <c r="C26" s="44">
        <f t="shared" si="2"/>
        <v>1.4220795543283652E-3</v>
      </c>
      <c r="D26" s="45">
        <f t="shared" si="3"/>
        <v>-0.16292785217429673</v>
      </c>
      <c r="E26" s="46">
        <f t="shared" si="4"/>
        <v>1.9906898370186117</v>
      </c>
    </row>
    <row r="27" spans="1:7" x14ac:dyDescent="0.2">
      <c r="A27" s="19">
        <f t="shared" si="0"/>
        <v>10</v>
      </c>
      <c r="B27" s="43">
        <f t="shared" si="1"/>
        <v>1.9906898370186117</v>
      </c>
      <c r="C27" s="44">
        <f t="shared" si="2"/>
        <v>4.0450262878672483E-4</v>
      </c>
      <c r="D27" s="45">
        <f t="shared" si="3"/>
        <v>-8.6894854492957155E-2</v>
      </c>
      <c r="E27" s="46">
        <f t="shared" si="4"/>
        <v>1.9950345797432596</v>
      </c>
      <c r="G27" t="s">
        <v>95</v>
      </c>
    </row>
    <row r="28" spans="1:7" x14ac:dyDescent="0.2">
      <c r="A28" s="19">
        <f t="shared" si="0"/>
        <v>11</v>
      </c>
      <c r="B28" s="43">
        <f t="shared" si="1"/>
        <v>1.9950345797432596</v>
      </c>
      <c r="C28" s="44">
        <f t="shared" si="2"/>
        <v>1.1505852552156151E-4</v>
      </c>
      <c r="D28" s="45">
        <f t="shared" si="3"/>
        <v>-4.6343922396244665E-2</v>
      </c>
      <c r="E28" s="46">
        <f t="shared" si="4"/>
        <v>1.9973517758630719</v>
      </c>
    </row>
    <row r="29" spans="1:7" x14ac:dyDescent="0.2">
      <c r="A29" s="19">
        <f t="shared" si="0"/>
        <v>12</v>
      </c>
      <c r="B29" s="43">
        <f t="shared" si="1"/>
        <v>1.9973517758630719</v>
      </c>
      <c r="C29" s="44">
        <f t="shared" si="2"/>
        <v>3.2727758370572503E-5</v>
      </c>
      <c r="D29" s="45">
        <f t="shared" si="3"/>
        <v>-2.4716758611328604E-2</v>
      </c>
      <c r="E29" s="46">
        <f t="shared" si="4"/>
        <v>1.9985876137936383</v>
      </c>
    </row>
    <row r="30" spans="1:7" x14ac:dyDescent="0.2">
      <c r="A30" s="19">
        <f t="shared" si="0"/>
        <v>13</v>
      </c>
      <c r="B30" s="43">
        <f t="shared" si="1"/>
        <v>1.9985876137936383</v>
      </c>
      <c r="C30" s="44">
        <f t="shared" si="2"/>
        <v>9.3092290476322709E-6</v>
      </c>
      <c r="D30" s="45">
        <f t="shared" si="3"/>
        <v>-1.318227125937721E-2</v>
      </c>
      <c r="E30" s="46">
        <f t="shared" si="4"/>
        <v>1.999246727356607</v>
      </c>
    </row>
    <row r="31" spans="1:7" x14ac:dyDescent="0.2">
      <c r="A31" s="19">
        <f t="shared" si="0"/>
        <v>14</v>
      </c>
      <c r="B31" s="43">
        <f t="shared" si="1"/>
        <v>1.999246727356607</v>
      </c>
      <c r="C31" s="44">
        <f t="shared" si="2"/>
        <v>2.647958484660136E-6</v>
      </c>
      <c r="D31" s="45">
        <f t="shared" si="3"/>
        <v>-7.0305446716682303E-3</v>
      </c>
      <c r="E31" s="46">
        <f t="shared" si="4"/>
        <v>1.9995982545901905</v>
      </c>
    </row>
    <row r="32" spans="1:7" x14ac:dyDescent="0.2">
      <c r="A32" s="19">
        <f t="shared" si="0"/>
        <v>15</v>
      </c>
      <c r="B32" s="43">
        <f t="shared" si="1"/>
        <v>1.9995982545901905</v>
      </c>
      <c r="C32" s="44">
        <f t="shared" si="2"/>
        <v>7.5319708008078814E-7</v>
      </c>
      <c r="D32" s="45">
        <f t="shared" si="3"/>
        <v>-3.7496238248889333E-3</v>
      </c>
      <c r="E32" s="46">
        <f t="shared" si="4"/>
        <v>1.9997857357814348</v>
      </c>
      <c r="G32" t="s">
        <v>96</v>
      </c>
    </row>
    <row r="34" spans="1:7" ht="17" x14ac:dyDescent="0.2">
      <c r="A34" s="27" t="s">
        <v>97</v>
      </c>
      <c r="B34" s="27"/>
      <c r="C34" s="27"/>
      <c r="D34" s="27"/>
      <c r="E34" s="27"/>
      <c r="F34" s="27"/>
      <c r="G34" s="27"/>
    </row>
    <row r="35" spans="1:7" x14ac:dyDescent="0.2">
      <c r="A35" t="s">
        <v>98</v>
      </c>
    </row>
    <row r="36" spans="1:7" x14ac:dyDescent="0.2">
      <c r="A36" t="s">
        <v>99</v>
      </c>
    </row>
    <row r="37" spans="1:7" x14ac:dyDescent="0.2">
      <c r="A37" t="s">
        <v>100</v>
      </c>
    </row>
    <row r="38" spans="1:7" x14ac:dyDescent="0.2">
      <c r="A38" s="8" t="s">
        <v>101</v>
      </c>
    </row>
  </sheetData>
  <mergeCells count="4">
    <mergeCell ref="A1:G1"/>
    <mergeCell ref="A4:G4"/>
    <mergeCell ref="A10:G10"/>
    <mergeCell ref="A34:G34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46A5-B8C2-8643-A12E-318B965D99F9}">
  <dimension ref="A1:G32"/>
  <sheetViews>
    <sheetView zoomScale="157" workbookViewId="0">
      <selection activeCell="F18" sqref="F18"/>
    </sheetView>
  </sheetViews>
  <sheetFormatPr baseColWidth="10" defaultRowHeight="16" x14ac:dyDescent="0.2"/>
  <cols>
    <col min="1" max="1" width="23.33203125" customWidth="1"/>
    <col min="2" max="7" width="15" customWidth="1"/>
  </cols>
  <sheetData>
    <row r="1" spans="1:7" ht="21" x14ac:dyDescent="0.25">
      <c r="A1" s="25" t="s">
        <v>102</v>
      </c>
      <c r="B1" s="25"/>
      <c r="C1" s="25"/>
      <c r="D1" s="25"/>
      <c r="E1" s="25"/>
      <c r="F1" s="25"/>
      <c r="G1" s="25"/>
    </row>
    <row r="2" spans="1:7" x14ac:dyDescent="0.2">
      <c r="A2" s="2" t="s">
        <v>103</v>
      </c>
    </row>
    <row r="4" spans="1:7" ht="17" x14ac:dyDescent="0.2">
      <c r="A4" s="26" t="s">
        <v>104</v>
      </c>
      <c r="B4" s="26"/>
      <c r="C4" s="26"/>
      <c r="D4" s="26"/>
      <c r="E4" s="26"/>
      <c r="F4" s="26"/>
      <c r="G4" s="26"/>
    </row>
    <row r="5" spans="1:7" x14ac:dyDescent="0.2">
      <c r="A5" s="13" t="s">
        <v>105</v>
      </c>
    </row>
    <row r="6" spans="1:7" x14ac:dyDescent="0.2">
      <c r="A6" s="1" t="s">
        <v>106</v>
      </c>
    </row>
    <row r="7" spans="1:7" x14ac:dyDescent="0.2">
      <c r="A7" s="1" t="s">
        <v>107</v>
      </c>
    </row>
    <row r="9" spans="1:7" x14ac:dyDescent="0.2">
      <c r="A9" s="3" t="s">
        <v>108</v>
      </c>
    </row>
    <row r="10" spans="1:7" x14ac:dyDescent="0.2">
      <c r="A10" s="10" t="s">
        <v>109</v>
      </c>
      <c r="B10" s="10" t="s">
        <v>110</v>
      </c>
      <c r="C10" s="10" t="s">
        <v>59</v>
      </c>
      <c r="E10" s="38" t="s">
        <v>111</v>
      </c>
    </row>
    <row r="11" spans="1:7" x14ac:dyDescent="0.2">
      <c r="A11" s="42">
        <v>0.4</v>
      </c>
      <c r="B11" s="42">
        <v>0.3</v>
      </c>
      <c r="C11" s="42">
        <v>0.2</v>
      </c>
      <c r="E11" s="1" t="s">
        <v>112</v>
      </c>
    </row>
    <row r="12" spans="1:7" x14ac:dyDescent="0.2">
      <c r="E12" s="1" t="s">
        <v>113</v>
      </c>
    </row>
    <row r="13" spans="1:7" x14ac:dyDescent="0.2">
      <c r="E13" s="1" t="s">
        <v>114</v>
      </c>
    </row>
    <row r="14" spans="1:7" x14ac:dyDescent="0.2">
      <c r="A14" s="3" t="s">
        <v>115</v>
      </c>
    </row>
    <row r="15" spans="1:7" x14ac:dyDescent="0.2">
      <c r="A15" s="29" t="s">
        <v>116</v>
      </c>
      <c r="B15" s="14" t="s">
        <v>117</v>
      </c>
      <c r="C15" s="14" t="s">
        <v>118</v>
      </c>
      <c r="D15" s="17" t="s">
        <v>65</v>
      </c>
      <c r="E15" s="48" t="s">
        <v>119</v>
      </c>
      <c r="F15" s="18" t="s">
        <v>120</v>
      </c>
      <c r="G15" s="18" t="s">
        <v>121</v>
      </c>
    </row>
    <row r="16" spans="1:7" x14ac:dyDescent="0.2">
      <c r="A16" s="49" t="s">
        <v>122</v>
      </c>
      <c r="B16" s="19">
        <v>1</v>
      </c>
      <c r="C16" s="19">
        <v>1</v>
      </c>
      <c r="D16" s="40">
        <f>$A$11*B16+$B$11*C16+$C$11</f>
        <v>0.89999999999999991</v>
      </c>
      <c r="E16" s="50" t="str">
        <f>IF(D16&gt;=0.5,"überlebt","gestorben")</f>
        <v>überlebt</v>
      </c>
      <c r="F16" s="19" t="s">
        <v>123</v>
      </c>
      <c r="G16" s="30" t="str">
        <f>IF(E16=F16,"✅","❌")</f>
        <v>✅</v>
      </c>
    </row>
    <row r="17" spans="1:7" x14ac:dyDescent="0.2">
      <c r="A17" s="49" t="s">
        <v>124</v>
      </c>
      <c r="B17" s="19">
        <v>0</v>
      </c>
      <c r="C17" s="19">
        <v>0</v>
      </c>
      <c r="D17" s="40">
        <f t="shared" ref="D17:D21" si="0">$A$11*B17+$B$11*C17+$C$11</f>
        <v>0.2</v>
      </c>
      <c r="E17" s="50" t="str">
        <f t="shared" ref="E17:E21" si="1">IF(D17&gt;=0.5,"überlebt","gestorben")</f>
        <v>gestorben</v>
      </c>
      <c r="F17" s="19" t="s">
        <v>125</v>
      </c>
      <c r="G17" s="30" t="str">
        <f t="shared" ref="G17:G21" si="2">IF(E17=F17,"✅","❌")</f>
        <v>✅</v>
      </c>
    </row>
    <row r="18" spans="1:7" x14ac:dyDescent="0.2">
      <c r="A18" s="49" t="s">
        <v>126</v>
      </c>
      <c r="B18" s="19">
        <v>0</v>
      </c>
      <c r="C18" s="19">
        <v>1</v>
      </c>
      <c r="D18" s="40">
        <f t="shared" si="0"/>
        <v>0.5</v>
      </c>
      <c r="E18" s="50" t="str">
        <f t="shared" si="1"/>
        <v>überlebt</v>
      </c>
      <c r="F18" s="19" t="s">
        <v>123</v>
      </c>
      <c r="G18" s="30" t="str">
        <f t="shared" si="2"/>
        <v>✅</v>
      </c>
    </row>
    <row r="19" spans="1:7" x14ac:dyDescent="0.2">
      <c r="A19" s="49" t="s">
        <v>127</v>
      </c>
      <c r="B19" s="19">
        <v>1</v>
      </c>
      <c r="C19" s="19">
        <v>0</v>
      </c>
      <c r="D19" s="40">
        <f t="shared" si="0"/>
        <v>0.60000000000000009</v>
      </c>
      <c r="E19" s="50" t="str">
        <f t="shared" si="1"/>
        <v>überlebt</v>
      </c>
      <c r="F19" s="19" t="s">
        <v>123</v>
      </c>
      <c r="G19" s="30" t="str">
        <f t="shared" si="2"/>
        <v>✅</v>
      </c>
    </row>
    <row r="20" spans="1:7" x14ac:dyDescent="0.2">
      <c r="A20" s="49" t="s">
        <v>128</v>
      </c>
      <c r="B20" s="19">
        <v>0</v>
      </c>
      <c r="C20" s="19">
        <v>0</v>
      </c>
      <c r="D20" s="40">
        <f t="shared" si="0"/>
        <v>0.2</v>
      </c>
      <c r="E20" s="50" t="str">
        <f t="shared" si="1"/>
        <v>gestorben</v>
      </c>
      <c r="F20" s="19" t="s">
        <v>125</v>
      </c>
      <c r="G20" s="30" t="str">
        <f t="shared" si="2"/>
        <v>✅</v>
      </c>
    </row>
    <row r="21" spans="1:7" x14ac:dyDescent="0.2">
      <c r="A21" s="49" t="s">
        <v>129</v>
      </c>
      <c r="B21" s="19">
        <v>1</v>
      </c>
      <c r="C21" s="19">
        <v>0</v>
      </c>
      <c r="D21" s="40">
        <f t="shared" si="0"/>
        <v>0.60000000000000009</v>
      </c>
      <c r="E21" s="50" t="str">
        <f t="shared" si="1"/>
        <v>überlebt</v>
      </c>
      <c r="F21" s="19" t="s">
        <v>123</v>
      </c>
      <c r="G21" s="30" t="str">
        <f t="shared" si="2"/>
        <v>✅</v>
      </c>
    </row>
    <row r="23" spans="1:7" ht="17" x14ac:dyDescent="0.2">
      <c r="A23" s="22" t="s">
        <v>130</v>
      </c>
      <c r="B23" s="47">
        <f>COUNTIF(G16:G21,"✅")/6</f>
        <v>1</v>
      </c>
      <c r="C23" s="8" t="s">
        <v>131</v>
      </c>
    </row>
    <row r="25" spans="1:7" ht="17" x14ac:dyDescent="0.2">
      <c r="A25" s="27" t="s">
        <v>56</v>
      </c>
      <c r="B25" s="27"/>
      <c r="C25" s="27"/>
      <c r="D25" s="27"/>
      <c r="E25" s="27"/>
      <c r="F25" s="27"/>
      <c r="G25" s="27"/>
    </row>
    <row r="26" spans="1:7" x14ac:dyDescent="0.2">
      <c r="A26" t="s">
        <v>132</v>
      </c>
    </row>
    <row r="27" spans="1:7" x14ac:dyDescent="0.2">
      <c r="A27" s="8" t="s">
        <v>133</v>
      </c>
    </row>
    <row r="29" spans="1:7" ht="17" x14ac:dyDescent="0.2">
      <c r="A29" s="28" t="s">
        <v>134</v>
      </c>
      <c r="B29" s="28"/>
      <c r="C29" s="28"/>
      <c r="D29" s="28"/>
      <c r="E29" s="28"/>
      <c r="F29" s="28"/>
      <c r="G29" s="28"/>
    </row>
    <row r="30" spans="1:7" x14ac:dyDescent="0.2">
      <c r="A30" t="s">
        <v>135</v>
      </c>
    </row>
    <row r="31" spans="1:7" x14ac:dyDescent="0.2">
      <c r="A31" t="s">
        <v>136</v>
      </c>
    </row>
    <row r="32" spans="1:7" x14ac:dyDescent="0.2">
      <c r="A32" s="1" t="s">
        <v>137</v>
      </c>
    </row>
  </sheetData>
  <mergeCells count="4">
    <mergeCell ref="A1:G1"/>
    <mergeCell ref="A4:G4"/>
    <mergeCell ref="A25:G25"/>
    <mergeCell ref="A29:G2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21AA-9835-7C4B-AB16-14E77FF7CEF1}">
  <dimension ref="A1:D45"/>
  <sheetViews>
    <sheetView tabSelected="1" workbookViewId="0">
      <selection sqref="A1:D1"/>
    </sheetView>
  </sheetViews>
  <sheetFormatPr baseColWidth="10" defaultRowHeight="16" x14ac:dyDescent="0.2"/>
  <cols>
    <col min="1" max="1" width="9.1640625" customWidth="1"/>
    <col min="2" max="2" width="60" customWidth="1"/>
    <col min="3" max="3" width="46.6640625" customWidth="1"/>
    <col min="4" max="4" width="58.33203125" customWidth="1"/>
  </cols>
  <sheetData>
    <row r="1" spans="1:4" ht="21" x14ac:dyDescent="0.25">
      <c r="A1" s="25" t="s">
        <v>169</v>
      </c>
      <c r="B1" s="25"/>
      <c r="C1" s="25"/>
      <c r="D1" s="25"/>
    </row>
    <row r="2" spans="1:4" x14ac:dyDescent="0.2">
      <c r="A2" s="2" t="s">
        <v>170</v>
      </c>
    </row>
    <row r="4" spans="1:4" ht="17" x14ac:dyDescent="0.2">
      <c r="A4" s="26" t="s">
        <v>171</v>
      </c>
      <c r="B4" s="26"/>
      <c r="C4" s="26"/>
      <c r="D4" s="26"/>
    </row>
    <row r="5" spans="1:4" x14ac:dyDescent="0.2">
      <c r="A5" t="s">
        <v>172</v>
      </c>
    </row>
    <row r="6" spans="1:4" x14ac:dyDescent="0.2">
      <c r="A6" s="1" t="s">
        <v>173</v>
      </c>
    </row>
    <row r="8" spans="1:4" x14ac:dyDescent="0.2">
      <c r="A8" s="14" t="s">
        <v>87</v>
      </c>
      <c r="B8" s="29" t="s">
        <v>174</v>
      </c>
      <c r="C8" s="29" t="s">
        <v>175</v>
      </c>
      <c r="D8" s="29" t="s">
        <v>176</v>
      </c>
    </row>
    <row r="9" spans="1:4" ht="34" x14ac:dyDescent="0.2">
      <c r="A9" s="60">
        <v>1</v>
      </c>
      <c r="B9" s="67" t="s">
        <v>177</v>
      </c>
      <c r="C9" s="68" t="s">
        <v>178</v>
      </c>
      <c r="D9" s="69" t="s">
        <v>179</v>
      </c>
    </row>
    <row r="10" spans="1:4" ht="17" x14ac:dyDescent="0.2">
      <c r="A10" s="60">
        <v>2</v>
      </c>
      <c r="B10" s="67" t="s">
        <v>180</v>
      </c>
      <c r="C10" s="68" t="s">
        <v>181</v>
      </c>
      <c r="D10" s="69" t="s">
        <v>182</v>
      </c>
    </row>
    <row r="11" spans="1:4" ht="17" x14ac:dyDescent="0.2">
      <c r="A11" s="60">
        <v>3</v>
      </c>
      <c r="B11" s="67" t="s">
        <v>183</v>
      </c>
      <c r="C11" s="68" t="s">
        <v>184</v>
      </c>
      <c r="D11" s="69" t="s">
        <v>185</v>
      </c>
    </row>
    <row r="12" spans="1:4" ht="34" x14ac:dyDescent="0.2">
      <c r="A12" s="60">
        <v>4</v>
      </c>
      <c r="B12" s="67" t="s">
        <v>186</v>
      </c>
      <c r="C12" s="68" t="s">
        <v>187</v>
      </c>
      <c r="D12" s="69" t="s">
        <v>188</v>
      </c>
    </row>
    <row r="13" spans="1:4" ht="34" x14ac:dyDescent="0.2">
      <c r="A13" s="60">
        <v>5</v>
      </c>
      <c r="B13" s="70" t="s">
        <v>189</v>
      </c>
      <c r="C13" s="71" t="s">
        <v>190</v>
      </c>
      <c r="D13" s="69" t="s">
        <v>191</v>
      </c>
    </row>
    <row r="14" spans="1:4" ht="34" x14ac:dyDescent="0.2">
      <c r="A14" s="60">
        <v>6</v>
      </c>
      <c r="B14" s="70" t="s">
        <v>192</v>
      </c>
      <c r="C14" s="71" t="s">
        <v>193</v>
      </c>
      <c r="D14" s="72" t="s">
        <v>194</v>
      </c>
    </row>
    <row r="15" spans="1:4" ht="17" x14ac:dyDescent="0.2">
      <c r="A15" s="60">
        <v>7</v>
      </c>
      <c r="B15" s="67" t="s">
        <v>195</v>
      </c>
      <c r="C15" s="68" t="s">
        <v>196</v>
      </c>
      <c r="D15" s="69" t="s">
        <v>197</v>
      </c>
    </row>
    <row r="16" spans="1:4" x14ac:dyDescent="0.2">
      <c r="A16" s="61"/>
      <c r="B16" s="61"/>
      <c r="C16" s="61"/>
      <c r="D16" s="61"/>
    </row>
    <row r="17" spans="1:4" x14ac:dyDescent="0.2">
      <c r="A17" s="62" t="s">
        <v>198</v>
      </c>
      <c r="B17" s="62"/>
      <c r="C17" s="62"/>
      <c r="D17" s="62"/>
    </row>
    <row r="18" spans="1:4" x14ac:dyDescent="0.2">
      <c r="A18" s="61" t="s">
        <v>199</v>
      </c>
      <c r="B18" s="61"/>
      <c r="C18" s="61"/>
      <c r="D18" s="61"/>
    </row>
    <row r="19" spans="1:4" x14ac:dyDescent="0.2">
      <c r="A19" s="63" t="s">
        <v>200</v>
      </c>
      <c r="B19" s="61"/>
      <c r="C19" s="61"/>
      <c r="D19" s="61"/>
    </row>
    <row r="20" spans="1:4" x14ac:dyDescent="0.2">
      <c r="A20" s="61"/>
      <c r="B20" s="61"/>
      <c r="C20" s="61"/>
      <c r="D20" s="61"/>
    </row>
    <row r="21" spans="1:4" ht="17" x14ac:dyDescent="0.2">
      <c r="A21" s="64" t="s">
        <v>201</v>
      </c>
      <c r="B21" s="64"/>
      <c r="C21" s="64"/>
      <c r="D21" s="64"/>
    </row>
    <row r="22" spans="1:4" x14ac:dyDescent="0.2">
      <c r="A22" s="61" t="s">
        <v>202</v>
      </c>
      <c r="B22" s="61"/>
      <c r="C22" s="61"/>
      <c r="D22" s="61"/>
    </row>
    <row r="23" spans="1:4" x14ac:dyDescent="0.2">
      <c r="A23" s="65" t="s">
        <v>203</v>
      </c>
      <c r="B23" s="61"/>
      <c r="C23" s="61"/>
      <c r="D23" s="61"/>
    </row>
    <row r="24" spans="1:4" x14ac:dyDescent="0.2">
      <c r="A24" s="61"/>
      <c r="B24" s="61"/>
      <c r="C24" s="61"/>
      <c r="D24" s="61"/>
    </row>
    <row r="25" spans="1:4" x14ac:dyDescent="0.2">
      <c r="A25" s="66" t="s">
        <v>87</v>
      </c>
      <c r="B25" s="73" t="s">
        <v>174</v>
      </c>
      <c r="C25" s="73" t="s">
        <v>175</v>
      </c>
      <c r="D25" s="73" t="s">
        <v>176</v>
      </c>
    </row>
    <row r="26" spans="1:4" ht="17" x14ac:dyDescent="0.2">
      <c r="A26" s="60">
        <v>1</v>
      </c>
      <c r="B26" s="67" t="s">
        <v>204</v>
      </c>
      <c r="C26" s="68" t="s">
        <v>205</v>
      </c>
      <c r="D26" s="69" t="s">
        <v>206</v>
      </c>
    </row>
    <row r="27" spans="1:4" ht="34" x14ac:dyDescent="0.2">
      <c r="A27" s="60">
        <v>2</v>
      </c>
      <c r="B27" s="67" t="s">
        <v>207</v>
      </c>
      <c r="C27" s="68" t="s">
        <v>208</v>
      </c>
      <c r="D27" s="69" t="s">
        <v>209</v>
      </c>
    </row>
    <row r="28" spans="1:4" ht="34" x14ac:dyDescent="0.2">
      <c r="A28" s="60">
        <v>3</v>
      </c>
      <c r="B28" s="67" t="s">
        <v>210</v>
      </c>
      <c r="C28" s="68" t="s">
        <v>211</v>
      </c>
      <c r="D28" s="69" t="s">
        <v>212</v>
      </c>
    </row>
    <row r="29" spans="1:4" ht="34" x14ac:dyDescent="0.2">
      <c r="A29" s="60">
        <v>4</v>
      </c>
      <c r="B29" s="70" t="s">
        <v>213</v>
      </c>
      <c r="C29" s="71" t="s">
        <v>214</v>
      </c>
      <c r="D29" s="69" t="s">
        <v>215</v>
      </c>
    </row>
    <row r="30" spans="1:4" ht="17" x14ac:dyDescent="0.2">
      <c r="A30" s="60">
        <v>5</v>
      </c>
      <c r="B30" s="70" t="s">
        <v>216</v>
      </c>
      <c r="C30" s="71" t="s">
        <v>217</v>
      </c>
      <c r="D30" s="69" t="s">
        <v>218</v>
      </c>
    </row>
    <row r="31" spans="1:4" ht="34" x14ac:dyDescent="0.2">
      <c r="A31" s="60">
        <v>6</v>
      </c>
      <c r="B31" s="67" t="s">
        <v>219</v>
      </c>
      <c r="C31" s="68" t="s">
        <v>220</v>
      </c>
      <c r="D31" s="69" t="s">
        <v>221</v>
      </c>
    </row>
    <row r="32" spans="1:4" ht="17" x14ac:dyDescent="0.2">
      <c r="A32" s="60">
        <v>7</v>
      </c>
      <c r="B32" s="70" t="s">
        <v>222</v>
      </c>
      <c r="C32" s="71" t="s">
        <v>223</v>
      </c>
      <c r="D32" s="69" t="s">
        <v>224</v>
      </c>
    </row>
    <row r="33" spans="1:4" ht="17" x14ac:dyDescent="0.2">
      <c r="A33" s="60">
        <v>8</v>
      </c>
      <c r="B33" s="67" t="s">
        <v>225</v>
      </c>
      <c r="C33" s="71" t="s">
        <v>226</v>
      </c>
      <c r="D33" s="69" t="s">
        <v>227</v>
      </c>
    </row>
    <row r="35" spans="1:4" x14ac:dyDescent="0.2">
      <c r="A35" s="59" t="s">
        <v>228</v>
      </c>
      <c r="B35" s="59"/>
      <c r="C35" s="59"/>
      <c r="D35" s="59"/>
    </row>
    <row r="36" spans="1:4" x14ac:dyDescent="0.2">
      <c r="A36" t="s">
        <v>229</v>
      </c>
    </row>
    <row r="37" spans="1:4" x14ac:dyDescent="0.2">
      <c r="A37" t="s">
        <v>230</v>
      </c>
    </row>
    <row r="39" spans="1:4" ht="17" x14ac:dyDescent="0.2">
      <c r="A39" s="28" t="s">
        <v>231</v>
      </c>
      <c r="B39" s="28"/>
      <c r="C39" s="28"/>
      <c r="D39" s="28"/>
    </row>
    <row r="40" spans="1:4" x14ac:dyDescent="0.2">
      <c r="A40" s="13" t="s">
        <v>232</v>
      </c>
    </row>
    <row r="41" spans="1:4" x14ac:dyDescent="0.2">
      <c r="A41" s="13" t="s">
        <v>233</v>
      </c>
    </row>
    <row r="42" spans="1:4" x14ac:dyDescent="0.2">
      <c r="A42" s="24" t="s">
        <v>234</v>
      </c>
    </row>
    <row r="44" spans="1:4" x14ac:dyDescent="0.2">
      <c r="A44" s="8" t="s">
        <v>235</v>
      </c>
    </row>
    <row r="45" spans="1:4" x14ac:dyDescent="0.2">
      <c r="A45" s="8" t="s">
        <v>236</v>
      </c>
    </row>
  </sheetData>
  <mergeCells count="6">
    <mergeCell ref="A1:D1"/>
    <mergeCell ref="A4:D4"/>
    <mergeCell ref="A17:D17"/>
    <mergeCell ref="A21:D21"/>
    <mergeCell ref="A35:D35"/>
    <mergeCell ref="A39:D39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Props1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0. Überblick</vt:lpstr>
      <vt:lpstr>1. Quadratische Funktion</vt:lpstr>
      <vt:lpstr>2. Neuronales Netz</vt:lpstr>
      <vt:lpstr>3. Gradient Descent</vt:lpstr>
      <vt:lpstr>4. Titanic</vt:lpstr>
      <vt:lpstr>5. Code-Aufbau L1+L2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Daniel Silze</cp:lastModifiedBy>
  <dcterms:created xsi:type="dcterms:W3CDTF">2018-06-07T17:34:22Z</dcterms:created>
  <dcterms:modified xsi:type="dcterms:W3CDTF">2026-04-29T14:19:00Z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